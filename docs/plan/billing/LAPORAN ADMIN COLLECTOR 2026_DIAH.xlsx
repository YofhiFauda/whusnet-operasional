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pip\Downloads\"/>
    </mc:Choice>
  </mc:AlternateContent>
  <xr:revisionPtr revIDLastSave="0" documentId="13_ncr:1_{FA6CF83C-F006-465B-A768-DE4ED97249A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juli2026" sheetId="4" r:id="rId1"/>
    <sheet name="Whusnet" sheetId="5" state="hidden" r:id="rId2"/>
    <sheet name="Sumberejo" sheetId="6" state="hidden" r:id="rId3"/>
    <sheet name="Jetis" sheetId="7" state="hidden" r:id="rId4"/>
    <sheet name="Siman" sheetId="8" state="hidden" r:id="rId5"/>
    <sheet name="Temon" sheetId="9" state="hidden" r:id="rId6"/>
    <sheet name="Sambit" sheetId="10" state="hidden" r:id="rId7"/>
    <sheet name="Slahung" sheetId="11" state="hidden" r:id="rId8"/>
    <sheet name="Pacitan" sheetId="12" state="hidden" r:id="rId9"/>
    <sheet name="Caruban" sheetId="13" state="hidden" r:id="rId10"/>
    <sheet name="Ngreco" sheetId="14" state="hidden" r:id="rId11"/>
    <sheet name="Des 2026" sheetId="15" state="hidden" r:id="rId12"/>
    <sheet name="Nov 2026" sheetId="16" state="hidden" r:id="rId13"/>
    <sheet name="Okt 2026" sheetId="17" state="hidden" r:id="rId14"/>
    <sheet name="Sep 2026" sheetId="18" state="hidden" r:id="rId15"/>
    <sheet name="Agst 2026" sheetId="19" state="hidden" r:id="rId16"/>
    <sheet name="Juli 2026" sheetId="20" state="hidden" r:id="rId17"/>
    <sheet name="Juni 2026" sheetId="21" state="hidden" r:id="rId18"/>
    <sheet name="juni2026" sheetId="22" state="hidden" r:id="rId19"/>
    <sheet name="Mei2026" sheetId="23" state="hidden" r:id="rId20"/>
    <sheet name="April 2026" sheetId="24" state="hidden" r:id="rId21"/>
    <sheet name="Maret 2026" sheetId="25" state="hidden" r:id="rId22"/>
    <sheet name="Feb 2026" sheetId="26" state="hidden" r:id="rId23"/>
    <sheet name="Jan 2026" sheetId="27" state="hidden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4" l="1"/>
  <c r="G20" i="4"/>
  <c r="G21" i="4"/>
  <c r="G22" i="4"/>
  <c r="G23" i="4"/>
  <c r="G24" i="4"/>
  <c r="G25" i="4"/>
  <c r="G26" i="4"/>
  <c r="G27" i="4"/>
  <c r="G28" i="4"/>
  <c r="G19" i="4"/>
  <c r="F21" i="4"/>
  <c r="F22" i="4"/>
  <c r="F23" i="4"/>
  <c r="F24" i="4"/>
  <c r="F25" i="4"/>
  <c r="F26" i="4"/>
  <c r="F27" i="4"/>
  <c r="F28" i="4"/>
  <c r="F20" i="4"/>
  <c r="F60" i="27"/>
  <c r="E60" i="27"/>
  <c r="D59" i="27"/>
  <c r="C59" i="27"/>
  <c r="H59" i="27" s="1"/>
  <c r="H58" i="27"/>
  <c r="D58" i="27"/>
  <c r="C58" i="27"/>
  <c r="H57" i="27"/>
  <c r="D57" i="27"/>
  <c r="C57" i="27"/>
  <c r="D56" i="27"/>
  <c r="H56" i="27" s="1"/>
  <c r="C56" i="27"/>
  <c r="D55" i="27"/>
  <c r="C55" i="27"/>
  <c r="H55" i="27" s="1"/>
  <c r="D54" i="27"/>
  <c r="C54" i="27"/>
  <c r="H54" i="27" s="1"/>
  <c r="H53" i="27"/>
  <c r="G53" i="27"/>
  <c r="D53" i="27"/>
  <c r="C53" i="27"/>
  <c r="G52" i="27"/>
  <c r="D52" i="27"/>
  <c r="C52" i="27"/>
  <c r="H52" i="27" s="1"/>
  <c r="H51" i="27"/>
  <c r="D51" i="27"/>
  <c r="D60" i="27" s="1"/>
  <c r="C51" i="27"/>
  <c r="G50" i="27"/>
  <c r="G60" i="27" s="1"/>
  <c r="D50" i="27"/>
  <c r="C50" i="27"/>
  <c r="H50" i="27" s="1"/>
  <c r="E45" i="27"/>
  <c r="D45" i="27"/>
  <c r="C45" i="27"/>
  <c r="F44" i="27"/>
  <c r="F43" i="27"/>
  <c r="F42" i="27"/>
  <c r="F41" i="27"/>
  <c r="F40" i="27"/>
  <c r="F39" i="27"/>
  <c r="F45" i="27" s="1"/>
  <c r="F38" i="27"/>
  <c r="F37" i="27"/>
  <c r="F36" i="27"/>
  <c r="F35" i="27"/>
  <c r="H29" i="27"/>
  <c r="D29" i="27"/>
  <c r="C29" i="27"/>
  <c r="E28" i="27"/>
  <c r="G27" i="27"/>
  <c r="F27" i="27"/>
  <c r="F26" i="27"/>
  <c r="E26" i="27"/>
  <c r="G26" i="27" s="1"/>
  <c r="G25" i="27"/>
  <c r="F25" i="27"/>
  <c r="E25" i="27"/>
  <c r="G24" i="27"/>
  <c r="F24" i="27"/>
  <c r="E24" i="27"/>
  <c r="F23" i="27"/>
  <c r="E23" i="27"/>
  <c r="G22" i="27"/>
  <c r="F22" i="27"/>
  <c r="E22" i="27"/>
  <c r="G21" i="27"/>
  <c r="F21" i="27"/>
  <c r="E21" i="27"/>
  <c r="G20" i="27"/>
  <c r="F20" i="27"/>
  <c r="E20" i="27"/>
  <c r="F19" i="27"/>
  <c r="E19" i="27"/>
  <c r="G19" i="27" s="1"/>
  <c r="F13" i="27"/>
  <c r="E13" i="27"/>
  <c r="D13" i="27"/>
  <c r="C13" i="27"/>
  <c r="I12" i="27"/>
  <c r="H12" i="27"/>
  <c r="J12" i="27" s="1"/>
  <c r="G12" i="27"/>
  <c r="I11" i="27"/>
  <c r="H11" i="27"/>
  <c r="J11" i="27" s="1"/>
  <c r="G11" i="27"/>
  <c r="I10" i="27"/>
  <c r="H10" i="27"/>
  <c r="J10" i="27" s="1"/>
  <c r="G10" i="27"/>
  <c r="I9" i="27"/>
  <c r="H9" i="27"/>
  <c r="J9" i="27" s="1"/>
  <c r="G9" i="27"/>
  <c r="I8" i="27"/>
  <c r="H8" i="27"/>
  <c r="J8" i="27" s="1"/>
  <c r="G8" i="27"/>
  <c r="I7" i="27"/>
  <c r="H7" i="27"/>
  <c r="J7" i="27" s="1"/>
  <c r="G7" i="27"/>
  <c r="I6" i="27"/>
  <c r="H6" i="27"/>
  <c r="J6" i="27" s="1"/>
  <c r="G6" i="27"/>
  <c r="I5" i="27"/>
  <c r="H5" i="27"/>
  <c r="J5" i="27" s="1"/>
  <c r="G5" i="27"/>
  <c r="I4" i="27"/>
  <c r="H4" i="27"/>
  <c r="J4" i="27" s="1"/>
  <c r="G4" i="27"/>
  <c r="G13" i="27" s="1"/>
  <c r="I13" i="27" s="1"/>
  <c r="I3" i="27"/>
  <c r="H3" i="27"/>
  <c r="J3" i="27" s="1"/>
  <c r="G3" i="27"/>
  <c r="G60" i="26"/>
  <c r="F60" i="26"/>
  <c r="E60" i="26"/>
  <c r="H59" i="26"/>
  <c r="D59" i="26"/>
  <c r="C59" i="26"/>
  <c r="D58" i="26"/>
  <c r="H58" i="26" s="1"/>
  <c r="C58" i="26"/>
  <c r="D57" i="26"/>
  <c r="C57" i="26"/>
  <c r="H57" i="26" s="1"/>
  <c r="D56" i="26"/>
  <c r="C56" i="26"/>
  <c r="H56" i="26" s="1"/>
  <c r="H55" i="26"/>
  <c r="D55" i="26"/>
  <c r="C55" i="26"/>
  <c r="D54" i="26"/>
  <c r="C54" i="26"/>
  <c r="H54" i="26" s="1"/>
  <c r="D53" i="26"/>
  <c r="C53" i="26"/>
  <c r="H53" i="26" s="1"/>
  <c r="H52" i="26"/>
  <c r="D52" i="26"/>
  <c r="C52" i="26"/>
  <c r="H51" i="26"/>
  <c r="D51" i="26"/>
  <c r="C51" i="26"/>
  <c r="D50" i="26"/>
  <c r="C50" i="26"/>
  <c r="C60" i="26" s="1"/>
  <c r="E45" i="26"/>
  <c r="D45" i="26"/>
  <c r="C45" i="26"/>
  <c r="F44" i="26"/>
  <c r="F43" i="26"/>
  <c r="F42" i="26"/>
  <c r="F41" i="26"/>
  <c r="F40" i="26"/>
  <c r="F39" i="26"/>
  <c r="F38" i="26"/>
  <c r="F37" i="26"/>
  <c r="F36" i="26"/>
  <c r="F35" i="26"/>
  <c r="H29" i="26"/>
  <c r="D29" i="26"/>
  <c r="C29" i="26"/>
  <c r="F28" i="26"/>
  <c r="E28" i="26"/>
  <c r="G28" i="26" s="1"/>
  <c r="G27" i="26"/>
  <c r="F27" i="26"/>
  <c r="F26" i="26"/>
  <c r="E26" i="26"/>
  <c r="G26" i="26" s="1"/>
  <c r="F25" i="26"/>
  <c r="E25" i="26"/>
  <c r="G25" i="26" s="1"/>
  <c r="G24" i="26"/>
  <c r="F24" i="26"/>
  <c r="E24" i="26"/>
  <c r="G23" i="26"/>
  <c r="F23" i="26"/>
  <c r="E23" i="26"/>
  <c r="F22" i="26"/>
  <c r="E22" i="26"/>
  <c r="G22" i="26" s="1"/>
  <c r="G21" i="26"/>
  <c r="F21" i="26"/>
  <c r="E21" i="26"/>
  <c r="G20" i="26"/>
  <c r="F20" i="26"/>
  <c r="E20" i="26"/>
  <c r="G19" i="26"/>
  <c r="F19" i="26"/>
  <c r="E19" i="26"/>
  <c r="F13" i="26"/>
  <c r="E13" i="26"/>
  <c r="D13" i="26"/>
  <c r="C13" i="26"/>
  <c r="I12" i="26"/>
  <c r="G12" i="26"/>
  <c r="H12" i="26" s="1"/>
  <c r="J12" i="26" s="1"/>
  <c r="J11" i="26"/>
  <c r="I11" i="26"/>
  <c r="H11" i="26"/>
  <c r="G11" i="26"/>
  <c r="I10" i="26"/>
  <c r="G10" i="26"/>
  <c r="H10" i="26" s="1"/>
  <c r="J10" i="26" s="1"/>
  <c r="J9" i="26"/>
  <c r="I9" i="26"/>
  <c r="H9" i="26"/>
  <c r="G9" i="26"/>
  <c r="I8" i="26"/>
  <c r="G8" i="26"/>
  <c r="H8" i="26" s="1"/>
  <c r="J8" i="26" s="1"/>
  <c r="J7" i="26"/>
  <c r="I7" i="26"/>
  <c r="H7" i="26"/>
  <c r="G7" i="26"/>
  <c r="I6" i="26"/>
  <c r="G6" i="26"/>
  <c r="H6" i="26" s="1"/>
  <c r="J6" i="26" s="1"/>
  <c r="J5" i="26"/>
  <c r="I5" i="26"/>
  <c r="H5" i="26"/>
  <c r="G5" i="26"/>
  <c r="I4" i="26"/>
  <c r="G4" i="26"/>
  <c r="H4" i="26" s="1"/>
  <c r="J4" i="26" s="1"/>
  <c r="J3" i="26"/>
  <c r="I3" i="26"/>
  <c r="H3" i="26"/>
  <c r="H13" i="26" s="1"/>
  <c r="G3" i="26"/>
  <c r="G13" i="26" s="1"/>
  <c r="I13" i="26" s="1"/>
  <c r="G60" i="25"/>
  <c r="F60" i="25"/>
  <c r="C61" i="25" s="1"/>
  <c r="E60" i="25"/>
  <c r="D59" i="25"/>
  <c r="C59" i="25"/>
  <c r="H59" i="25" s="1"/>
  <c r="D58" i="25"/>
  <c r="C58" i="25"/>
  <c r="H58" i="25" s="1"/>
  <c r="H57" i="25"/>
  <c r="D57" i="25"/>
  <c r="C57" i="25"/>
  <c r="D56" i="25"/>
  <c r="C56" i="25"/>
  <c r="H56" i="25" s="1"/>
  <c r="D55" i="25"/>
  <c r="C55" i="25"/>
  <c r="H55" i="25" s="1"/>
  <c r="H54" i="25"/>
  <c r="D54" i="25"/>
  <c r="C54" i="25"/>
  <c r="H53" i="25"/>
  <c r="D53" i="25"/>
  <c r="C53" i="25"/>
  <c r="D52" i="25"/>
  <c r="H52" i="25" s="1"/>
  <c r="C52" i="25"/>
  <c r="D51" i="25"/>
  <c r="C51" i="25"/>
  <c r="H51" i="25" s="1"/>
  <c r="D50" i="25"/>
  <c r="C50" i="25"/>
  <c r="E45" i="25"/>
  <c r="D45" i="25"/>
  <c r="C45" i="25"/>
  <c r="F44" i="25"/>
  <c r="F43" i="25"/>
  <c r="F42" i="25"/>
  <c r="F41" i="25"/>
  <c r="F40" i="25"/>
  <c r="F45" i="25" s="1"/>
  <c r="F39" i="25"/>
  <c r="F38" i="25"/>
  <c r="F37" i="25"/>
  <c r="F36" i="25"/>
  <c r="F35" i="25"/>
  <c r="H29" i="25"/>
  <c r="D29" i="25"/>
  <c r="C29" i="25"/>
  <c r="E28" i="25"/>
  <c r="G27" i="25"/>
  <c r="F27" i="25"/>
  <c r="F26" i="25"/>
  <c r="E26" i="25"/>
  <c r="G26" i="25" s="1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F13" i="25"/>
  <c r="E13" i="25"/>
  <c r="D13" i="25"/>
  <c r="C13" i="25"/>
  <c r="J12" i="25"/>
  <c r="I12" i="25"/>
  <c r="H12" i="25"/>
  <c r="G12" i="25"/>
  <c r="G11" i="25"/>
  <c r="I11" i="25" s="1"/>
  <c r="J10" i="25"/>
  <c r="I10" i="25"/>
  <c r="H10" i="25"/>
  <c r="G10" i="25"/>
  <c r="G9" i="25"/>
  <c r="I9" i="25" s="1"/>
  <c r="J8" i="25"/>
  <c r="I8" i="25"/>
  <c r="H8" i="25"/>
  <c r="G8" i="25"/>
  <c r="G7" i="25"/>
  <c r="I7" i="25" s="1"/>
  <c r="J6" i="25"/>
  <c r="I6" i="25"/>
  <c r="H6" i="25"/>
  <c r="G6" i="25"/>
  <c r="G5" i="25"/>
  <c r="I5" i="25" s="1"/>
  <c r="J4" i="25"/>
  <c r="I4" i="25"/>
  <c r="H4" i="25"/>
  <c r="G4" i="25"/>
  <c r="G3" i="25"/>
  <c r="G13" i="25" s="1"/>
  <c r="I13" i="25" s="1"/>
  <c r="C61" i="24"/>
  <c r="G60" i="24"/>
  <c r="F60" i="24"/>
  <c r="E60" i="24"/>
  <c r="D59" i="24"/>
  <c r="H59" i="24" s="1"/>
  <c r="C59" i="24"/>
  <c r="D58" i="24"/>
  <c r="C58" i="24"/>
  <c r="H58" i="24" s="1"/>
  <c r="D57" i="24"/>
  <c r="C57" i="24"/>
  <c r="H57" i="24" s="1"/>
  <c r="H56" i="24"/>
  <c r="D56" i="24"/>
  <c r="C56" i="24"/>
  <c r="D55" i="24"/>
  <c r="C55" i="24"/>
  <c r="H55" i="24" s="1"/>
  <c r="D54" i="24"/>
  <c r="C54" i="24"/>
  <c r="H54" i="24" s="1"/>
  <c r="H53" i="24"/>
  <c r="D53" i="24"/>
  <c r="C53" i="24"/>
  <c r="H52" i="24"/>
  <c r="D52" i="24"/>
  <c r="C52" i="24"/>
  <c r="D51" i="24"/>
  <c r="H51" i="24" s="1"/>
  <c r="C51" i="24"/>
  <c r="D50" i="24"/>
  <c r="D60" i="24" s="1"/>
  <c r="C50" i="24"/>
  <c r="H50" i="24" s="1"/>
  <c r="E45" i="24"/>
  <c r="D45" i="24"/>
  <c r="C45" i="24"/>
  <c r="F44" i="24"/>
  <c r="F43" i="24"/>
  <c r="F42" i="24"/>
  <c r="F41" i="24"/>
  <c r="F40" i="24"/>
  <c r="F39" i="24"/>
  <c r="F38" i="24"/>
  <c r="F37" i="24"/>
  <c r="F36" i="24"/>
  <c r="F35" i="24"/>
  <c r="H29" i="24"/>
  <c r="D29" i="24"/>
  <c r="C29" i="24"/>
  <c r="G28" i="24"/>
  <c r="F28" i="24"/>
  <c r="E28" i="24"/>
  <c r="F27" i="24"/>
  <c r="E27" i="24"/>
  <c r="G27" i="24" s="1"/>
  <c r="F26" i="24"/>
  <c r="E26" i="24"/>
  <c r="G26" i="24" s="1"/>
  <c r="G25" i="24"/>
  <c r="F25" i="24"/>
  <c r="E25" i="24"/>
  <c r="G24" i="24"/>
  <c r="F24" i="24"/>
  <c r="E24" i="24"/>
  <c r="G23" i="24"/>
  <c r="F23" i="24"/>
  <c r="E23" i="24"/>
  <c r="F22" i="24"/>
  <c r="E22" i="24"/>
  <c r="G22" i="24" s="1"/>
  <c r="F21" i="24"/>
  <c r="E21" i="24"/>
  <c r="G21" i="24" s="1"/>
  <c r="G20" i="24"/>
  <c r="F20" i="24"/>
  <c r="E20" i="24"/>
  <c r="F19" i="24"/>
  <c r="E19" i="24"/>
  <c r="G19" i="24" s="1"/>
  <c r="F13" i="24"/>
  <c r="E13" i="24"/>
  <c r="D13" i="24"/>
  <c r="C13" i="24"/>
  <c r="J12" i="24"/>
  <c r="I12" i="24"/>
  <c r="H12" i="24"/>
  <c r="G12" i="24"/>
  <c r="I11" i="24"/>
  <c r="H11" i="24"/>
  <c r="J11" i="24" s="1"/>
  <c r="G11" i="24"/>
  <c r="J10" i="24"/>
  <c r="I10" i="24"/>
  <c r="H10" i="24"/>
  <c r="G10" i="24"/>
  <c r="I9" i="24"/>
  <c r="H9" i="24"/>
  <c r="J9" i="24" s="1"/>
  <c r="G9" i="24"/>
  <c r="J8" i="24"/>
  <c r="I8" i="24"/>
  <c r="H8" i="24"/>
  <c r="G8" i="24"/>
  <c r="I7" i="24"/>
  <c r="H7" i="24"/>
  <c r="J7" i="24" s="1"/>
  <c r="G7" i="24"/>
  <c r="J6" i="24"/>
  <c r="I6" i="24"/>
  <c r="H6" i="24"/>
  <c r="G6" i="24"/>
  <c r="I5" i="24"/>
  <c r="H5" i="24"/>
  <c r="J5" i="24" s="1"/>
  <c r="G5" i="24"/>
  <c r="J4" i="24"/>
  <c r="I4" i="24"/>
  <c r="H4" i="24"/>
  <c r="G4" i="24"/>
  <c r="I3" i="24"/>
  <c r="H3" i="24"/>
  <c r="H13" i="24" s="1"/>
  <c r="G3" i="24"/>
  <c r="G13" i="24" s="1"/>
  <c r="I13" i="24" s="1"/>
  <c r="C61" i="23"/>
  <c r="G60" i="23"/>
  <c r="F60" i="23"/>
  <c r="E60" i="23"/>
  <c r="H59" i="23"/>
  <c r="D58" i="23"/>
  <c r="H58" i="23" s="1"/>
  <c r="C58" i="23"/>
  <c r="D57" i="23"/>
  <c r="C57" i="23"/>
  <c r="H57" i="23" s="1"/>
  <c r="D56" i="23"/>
  <c r="C56" i="23"/>
  <c r="H56" i="23" s="1"/>
  <c r="H55" i="23"/>
  <c r="D55" i="23"/>
  <c r="C55" i="23"/>
  <c r="D54" i="23"/>
  <c r="C54" i="23"/>
  <c r="H54" i="23" s="1"/>
  <c r="D53" i="23"/>
  <c r="C53" i="23"/>
  <c r="H53" i="23" s="1"/>
  <c r="H52" i="23"/>
  <c r="D52" i="23"/>
  <c r="C52" i="23"/>
  <c r="H51" i="23"/>
  <c r="D51" i="23"/>
  <c r="C51" i="23"/>
  <c r="D50" i="23"/>
  <c r="C50" i="23"/>
  <c r="C60" i="23" s="1"/>
  <c r="E45" i="23"/>
  <c r="D45" i="23"/>
  <c r="C45" i="23"/>
  <c r="F44" i="23"/>
  <c r="F43" i="23"/>
  <c r="F42" i="23"/>
  <c r="F41" i="23"/>
  <c r="F40" i="23"/>
  <c r="F39" i="23"/>
  <c r="F38" i="23"/>
  <c r="F37" i="23"/>
  <c r="F36" i="23"/>
  <c r="F35" i="23"/>
  <c r="F45" i="23" s="1"/>
  <c r="C30" i="23"/>
  <c r="H29" i="23"/>
  <c r="E29" i="23"/>
  <c r="D29" i="23"/>
  <c r="C29" i="23"/>
  <c r="G27" i="23"/>
  <c r="F27" i="23"/>
  <c r="G26" i="23"/>
  <c r="F26" i="23"/>
  <c r="G25" i="23"/>
  <c r="F25" i="23"/>
  <c r="G24" i="23"/>
  <c r="F24" i="23"/>
  <c r="G23" i="23"/>
  <c r="F23" i="23"/>
  <c r="G22" i="23"/>
  <c r="F22" i="23"/>
  <c r="G21" i="23"/>
  <c r="F21" i="23"/>
  <c r="G20" i="23"/>
  <c r="F20" i="23"/>
  <c r="G19" i="23"/>
  <c r="F19" i="23"/>
  <c r="F13" i="23"/>
  <c r="E13" i="23"/>
  <c r="D13" i="23"/>
  <c r="C13" i="23"/>
  <c r="G12" i="23"/>
  <c r="I12" i="23" s="1"/>
  <c r="G11" i="23"/>
  <c r="I11" i="23" s="1"/>
  <c r="G10" i="23"/>
  <c r="I10" i="23" s="1"/>
  <c r="G9" i="23"/>
  <c r="I9" i="23" s="1"/>
  <c r="G8" i="23"/>
  <c r="I8" i="23" s="1"/>
  <c r="G7" i="23"/>
  <c r="I7" i="23" s="1"/>
  <c r="G6" i="23"/>
  <c r="I6" i="23" s="1"/>
  <c r="G5" i="23"/>
  <c r="I5" i="23" s="1"/>
  <c r="G4" i="23"/>
  <c r="I4" i="23" s="1"/>
  <c r="G3" i="23"/>
  <c r="G13" i="23" s="1"/>
  <c r="I13" i="23" s="1"/>
  <c r="C61" i="22"/>
  <c r="G60" i="22"/>
  <c r="F60" i="22"/>
  <c r="E60" i="22"/>
  <c r="H59" i="22"/>
  <c r="H58" i="22"/>
  <c r="D58" i="22"/>
  <c r="C58" i="22"/>
  <c r="H57" i="22"/>
  <c r="D57" i="22"/>
  <c r="C57" i="22"/>
  <c r="D56" i="22"/>
  <c r="C56" i="22"/>
  <c r="H56" i="22" s="1"/>
  <c r="D55" i="22"/>
  <c r="C55" i="22"/>
  <c r="H55" i="22" s="1"/>
  <c r="H54" i="22"/>
  <c r="D54" i="22"/>
  <c r="C54" i="22"/>
  <c r="D53" i="22"/>
  <c r="H53" i="22" s="1"/>
  <c r="C53" i="22"/>
  <c r="D52" i="22"/>
  <c r="C52" i="22"/>
  <c r="H52" i="22" s="1"/>
  <c r="D51" i="22"/>
  <c r="C51" i="22"/>
  <c r="H51" i="22" s="1"/>
  <c r="H50" i="22"/>
  <c r="D50" i="22"/>
  <c r="D60" i="22" s="1"/>
  <c r="C50" i="22"/>
  <c r="C60" i="22" s="1"/>
  <c r="E45" i="22"/>
  <c r="D45" i="22"/>
  <c r="C45" i="22"/>
  <c r="F44" i="22"/>
  <c r="F43" i="22"/>
  <c r="F42" i="22"/>
  <c r="F41" i="22"/>
  <c r="F40" i="22"/>
  <c r="F39" i="22"/>
  <c r="F38" i="22"/>
  <c r="F37" i="22"/>
  <c r="F36" i="22"/>
  <c r="F35" i="22"/>
  <c r="F45" i="22" s="1"/>
  <c r="H29" i="22"/>
  <c r="E29" i="22"/>
  <c r="C30" i="22" s="1"/>
  <c r="D29" i="22"/>
  <c r="C29" i="22"/>
  <c r="G27" i="22"/>
  <c r="F27" i="22"/>
  <c r="G26" i="22"/>
  <c r="F26" i="22"/>
  <c r="G25" i="22"/>
  <c r="F25" i="22"/>
  <c r="G24" i="22"/>
  <c r="F24" i="22"/>
  <c r="G23" i="22"/>
  <c r="F23" i="22"/>
  <c r="G22" i="22"/>
  <c r="F22" i="22"/>
  <c r="G21" i="22"/>
  <c r="F21" i="22"/>
  <c r="G20" i="22"/>
  <c r="F20" i="22"/>
  <c r="G19" i="22"/>
  <c r="F19" i="22"/>
  <c r="F13" i="22"/>
  <c r="E13" i="22"/>
  <c r="D13" i="22"/>
  <c r="C13" i="22"/>
  <c r="G12" i="22"/>
  <c r="I12" i="22" s="1"/>
  <c r="G11" i="22"/>
  <c r="G10" i="22"/>
  <c r="I10" i="22" s="1"/>
  <c r="G9" i="22"/>
  <c r="G8" i="22"/>
  <c r="I8" i="22" s="1"/>
  <c r="G7" i="22"/>
  <c r="G6" i="22"/>
  <c r="I6" i="22" s="1"/>
  <c r="G5" i="22"/>
  <c r="G4" i="22"/>
  <c r="I4" i="22" s="1"/>
  <c r="G3" i="22"/>
  <c r="G60" i="21"/>
  <c r="E60" i="21"/>
  <c r="D59" i="21"/>
  <c r="C59" i="21"/>
  <c r="F59" i="21" s="1"/>
  <c r="H59" i="21" s="1"/>
  <c r="D58" i="21"/>
  <c r="C58" i="21"/>
  <c r="F58" i="21" s="1"/>
  <c r="H58" i="21" s="1"/>
  <c r="D57" i="21"/>
  <c r="C57" i="21"/>
  <c r="F57" i="21" s="1"/>
  <c r="H57" i="21" s="1"/>
  <c r="D56" i="21"/>
  <c r="C56" i="21"/>
  <c r="F56" i="21" s="1"/>
  <c r="H56" i="21" s="1"/>
  <c r="H55" i="21"/>
  <c r="D55" i="21"/>
  <c r="C55" i="21"/>
  <c r="F55" i="21" s="1"/>
  <c r="D54" i="21"/>
  <c r="C54" i="21"/>
  <c r="F54" i="21" s="1"/>
  <c r="H54" i="21" s="1"/>
  <c r="H53" i="21"/>
  <c r="D53" i="21"/>
  <c r="C53" i="21"/>
  <c r="F53" i="21" s="1"/>
  <c r="D52" i="21"/>
  <c r="C52" i="21"/>
  <c r="F52" i="21" s="1"/>
  <c r="H52" i="21" s="1"/>
  <c r="D51" i="21"/>
  <c r="C51" i="21"/>
  <c r="F51" i="21" s="1"/>
  <c r="H51" i="21" s="1"/>
  <c r="D50" i="21"/>
  <c r="D60" i="21" s="1"/>
  <c r="C50" i="21"/>
  <c r="C60" i="21" s="1"/>
  <c r="E45" i="21"/>
  <c r="D45" i="21"/>
  <c r="C45" i="21"/>
  <c r="F44" i="21"/>
  <c r="F43" i="21"/>
  <c r="F42" i="21"/>
  <c r="F41" i="21"/>
  <c r="F40" i="21"/>
  <c r="F45" i="21" s="1"/>
  <c r="F39" i="21"/>
  <c r="F38" i="21"/>
  <c r="F37" i="21"/>
  <c r="F36" i="21"/>
  <c r="F35" i="21"/>
  <c r="E29" i="21"/>
  <c r="C30" i="21" s="1"/>
  <c r="D29" i="21"/>
  <c r="C29" i="21"/>
  <c r="G27" i="21"/>
  <c r="F27" i="21"/>
  <c r="G26" i="21"/>
  <c r="F26" i="21"/>
  <c r="G25" i="21"/>
  <c r="F25" i="21"/>
  <c r="G24" i="21"/>
  <c r="F24" i="21"/>
  <c r="G23" i="21"/>
  <c r="F23" i="21"/>
  <c r="G22" i="21"/>
  <c r="F22" i="21"/>
  <c r="G21" i="21"/>
  <c r="F21" i="21"/>
  <c r="G20" i="21"/>
  <c r="F20" i="21"/>
  <c r="G19" i="21"/>
  <c r="F19" i="21"/>
  <c r="F13" i="21"/>
  <c r="E13" i="21"/>
  <c r="D13" i="21"/>
  <c r="C13" i="21"/>
  <c r="G12" i="21"/>
  <c r="G11" i="21"/>
  <c r="I11" i="21" s="1"/>
  <c r="G10" i="21"/>
  <c r="I10" i="21" s="1"/>
  <c r="G9" i="21"/>
  <c r="I9" i="21" s="1"/>
  <c r="G8" i="21"/>
  <c r="I8" i="21" s="1"/>
  <c r="G7" i="21"/>
  <c r="I7" i="21" s="1"/>
  <c r="H6" i="21"/>
  <c r="J6" i="21" s="1"/>
  <c r="G6" i="21"/>
  <c r="I6" i="21" s="1"/>
  <c r="G5" i="21"/>
  <c r="I5" i="21" s="1"/>
  <c r="H4" i="21"/>
  <c r="J4" i="21" s="1"/>
  <c r="G4" i="21"/>
  <c r="I4" i="21" s="1"/>
  <c r="G3" i="21"/>
  <c r="I3" i="21" s="1"/>
  <c r="G60" i="20"/>
  <c r="E60" i="20"/>
  <c r="D59" i="20"/>
  <c r="C59" i="20"/>
  <c r="F59" i="20" s="1"/>
  <c r="H59" i="20" s="1"/>
  <c r="H58" i="20"/>
  <c r="F58" i="20"/>
  <c r="D58" i="20"/>
  <c r="C58" i="20"/>
  <c r="D57" i="20"/>
  <c r="C57" i="20"/>
  <c r="F57" i="20" s="1"/>
  <c r="H57" i="20" s="1"/>
  <c r="H56" i="20"/>
  <c r="F56" i="20"/>
  <c r="D56" i="20"/>
  <c r="C56" i="20"/>
  <c r="D55" i="20"/>
  <c r="C55" i="20"/>
  <c r="F55" i="20" s="1"/>
  <c r="H55" i="20" s="1"/>
  <c r="H54" i="20"/>
  <c r="F54" i="20"/>
  <c r="D54" i="20"/>
  <c r="C54" i="20"/>
  <c r="D53" i="20"/>
  <c r="C53" i="20"/>
  <c r="F53" i="20" s="1"/>
  <c r="H53" i="20" s="1"/>
  <c r="H52" i="20"/>
  <c r="F52" i="20"/>
  <c r="D52" i="20"/>
  <c r="C52" i="20"/>
  <c r="D51" i="20"/>
  <c r="C51" i="20"/>
  <c r="F51" i="20" s="1"/>
  <c r="H51" i="20" s="1"/>
  <c r="H50" i="20"/>
  <c r="F50" i="20"/>
  <c r="D50" i="20"/>
  <c r="D60" i="20" s="1"/>
  <c r="C50" i="20"/>
  <c r="E45" i="20"/>
  <c r="D45" i="20"/>
  <c r="C45" i="20"/>
  <c r="F44" i="20"/>
  <c r="F43" i="20"/>
  <c r="F42" i="20"/>
  <c r="F41" i="20"/>
  <c r="F40" i="20"/>
  <c r="F39" i="20"/>
  <c r="F38" i="20"/>
  <c r="F37" i="20"/>
  <c r="F36" i="20"/>
  <c r="F35" i="20"/>
  <c r="D29" i="20"/>
  <c r="C29" i="20"/>
  <c r="E28" i="20"/>
  <c r="G27" i="20"/>
  <c r="F27" i="20"/>
  <c r="E27" i="20"/>
  <c r="F26" i="20"/>
  <c r="E26" i="20"/>
  <c r="G26" i="20" s="1"/>
  <c r="F25" i="20"/>
  <c r="E25" i="20"/>
  <c r="G25" i="20" s="1"/>
  <c r="G24" i="20"/>
  <c r="F24" i="20"/>
  <c r="E24" i="20"/>
  <c r="G23" i="20"/>
  <c r="F23" i="20"/>
  <c r="E23" i="20"/>
  <c r="F22" i="20"/>
  <c r="E22" i="20"/>
  <c r="G22" i="20" s="1"/>
  <c r="G21" i="20"/>
  <c r="F21" i="20"/>
  <c r="E21" i="20"/>
  <c r="G20" i="20"/>
  <c r="F20" i="20"/>
  <c r="E20" i="20"/>
  <c r="G19" i="20"/>
  <c r="F19" i="20"/>
  <c r="E19" i="20"/>
  <c r="E29" i="20" s="1"/>
  <c r="C30" i="20" s="1"/>
  <c r="F13" i="20"/>
  <c r="E13" i="20"/>
  <c r="D13" i="20"/>
  <c r="C13" i="20"/>
  <c r="I12" i="20"/>
  <c r="G12" i="20"/>
  <c r="H12" i="20" s="1"/>
  <c r="J12" i="20" s="1"/>
  <c r="J11" i="20"/>
  <c r="I11" i="20"/>
  <c r="H11" i="20"/>
  <c r="G11" i="20"/>
  <c r="I10" i="20"/>
  <c r="G10" i="20"/>
  <c r="H10" i="20" s="1"/>
  <c r="J10" i="20" s="1"/>
  <c r="J9" i="20"/>
  <c r="I9" i="20"/>
  <c r="H9" i="20"/>
  <c r="G9" i="20"/>
  <c r="I8" i="20"/>
  <c r="G8" i="20"/>
  <c r="H8" i="20" s="1"/>
  <c r="J8" i="20" s="1"/>
  <c r="J7" i="20"/>
  <c r="I7" i="20"/>
  <c r="H7" i="20"/>
  <c r="G7" i="20"/>
  <c r="I6" i="20"/>
  <c r="G6" i="20"/>
  <c r="H6" i="20" s="1"/>
  <c r="J6" i="20" s="1"/>
  <c r="J5" i="20"/>
  <c r="I5" i="20"/>
  <c r="H5" i="20"/>
  <c r="G5" i="20"/>
  <c r="I4" i="20"/>
  <c r="G4" i="20"/>
  <c r="H4" i="20" s="1"/>
  <c r="J4" i="20" s="1"/>
  <c r="J3" i="20"/>
  <c r="I3" i="20"/>
  <c r="H3" i="20"/>
  <c r="G3" i="20"/>
  <c r="G13" i="20" s="1"/>
  <c r="I13" i="20" s="1"/>
  <c r="G60" i="19"/>
  <c r="E60" i="19"/>
  <c r="D59" i="19"/>
  <c r="C59" i="19"/>
  <c r="F59" i="19" s="1"/>
  <c r="H59" i="19" s="1"/>
  <c r="D58" i="19"/>
  <c r="F58" i="19" s="1"/>
  <c r="H58" i="19" s="1"/>
  <c r="C58" i="19"/>
  <c r="D57" i="19"/>
  <c r="C57" i="19"/>
  <c r="F57" i="19" s="1"/>
  <c r="H57" i="19" s="1"/>
  <c r="D56" i="19"/>
  <c r="F56" i="19" s="1"/>
  <c r="H56" i="19" s="1"/>
  <c r="C56" i="19"/>
  <c r="D55" i="19"/>
  <c r="C55" i="19"/>
  <c r="F55" i="19" s="1"/>
  <c r="H55" i="19" s="1"/>
  <c r="F54" i="19"/>
  <c r="H54" i="19" s="1"/>
  <c r="D54" i="19"/>
  <c r="C54" i="19"/>
  <c r="D53" i="19"/>
  <c r="C53" i="19"/>
  <c r="F53" i="19" s="1"/>
  <c r="H53" i="19" s="1"/>
  <c r="D52" i="19"/>
  <c r="F52" i="19" s="1"/>
  <c r="H52" i="19" s="1"/>
  <c r="C52" i="19"/>
  <c r="D51" i="19"/>
  <c r="C51" i="19"/>
  <c r="F51" i="19" s="1"/>
  <c r="H51" i="19" s="1"/>
  <c r="F50" i="19"/>
  <c r="D50" i="19"/>
  <c r="D60" i="19" s="1"/>
  <c r="C50" i="19"/>
  <c r="C60" i="19" s="1"/>
  <c r="E45" i="19"/>
  <c r="D45" i="19"/>
  <c r="C45" i="19"/>
  <c r="F44" i="19"/>
  <c r="F43" i="19"/>
  <c r="F42" i="19"/>
  <c r="F41" i="19"/>
  <c r="F40" i="19"/>
  <c r="F39" i="19"/>
  <c r="F38" i="19"/>
  <c r="F37" i="19"/>
  <c r="F36" i="19"/>
  <c r="F35" i="19"/>
  <c r="F45" i="19" s="1"/>
  <c r="D29" i="19"/>
  <c r="C29" i="19"/>
  <c r="E28" i="19"/>
  <c r="F27" i="19"/>
  <c r="E27" i="19"/>
  <c r="G27" i="19" s="1"/>
  <c r="G26" i="19"/>
  <c r="F26" i="19"/>
  <c r="E26" i="19"/>
  <c r="F25" i="19"/>
  <c r="E25" i="19"/>
  <c r="G25" i="19" s="1"/>
  <c r="F24" i="19"/>
  <c r="E24" i="19"/>
  <c r="G24" i="19" s="1"/>
  <c r="G23" i="19"/>
  <c r="F23" i="19"/>
  <c r="E23" i="19"/>
  <c r="G22" i="19"/>
  <c r="F22" i="19"/>
  <c r="E22" i="19"/>
  <c r="G21" i="19"/>
  <c r="F21" i="19"/>
  <c r="E21" i="19"/>
  <c r="F20" i="19"/>
  <c r="E20" i="19"/>
  <c r="G20" i="19" s="1"/>
  <c r="F19" i="19"/>
  <c r="E19" i="19"/>
  <c r="F13" i="19"/>
  <c r="E13" i="19"/>
  <c r="D13" i="19"/>
  <c r="C13" i="19"/>
  <c r="G12" i="19"/>
  <c r="I12" i="19" s="1"/>
  <c r="H11" i="19"/>
  <c r="J11" i="19" s="1"/>
  <c r="G11" i="19"/>
  <c r="I11" i="19" s="1"/>
  <c r="G10" i="19"/>
  <c r="I10" i="19" s="1"/>
  <c r="G9" i="19"/>
  <c r="I9" i="19" s="1"/>
  <c r="G8" i="19"/>
  <c r="I8" i="19" s="1"/>
  <c r="H7" i="19"/>
  <c r="J7" i="19" s="1"/>
  <c r="G7" i="19"/>
  <c r="I7" i="19" s="1"/>
  <c r="G6" i="19"/>
  <c r="I6" i="19" s="1"/>
  <c r="G5" i="19"/>
  <c r="I5" i="19" s="1"/>
  <c r="G4" i="19"/>
  <c r="I4" i="19" s="1"/>
  <c r="G3" i="19"/>
  <c r="G60" i="18"/>
  <c r="E60" i="18"/>
  <c r="H59" i="18"/>
  <c r="F59" i="18"/>
  <c r="D59" i="18"/>
  <c r="C59" i="18"/>
  <c r="D58" i="18"/>
  <c r="C58" i="18"/>
  <c r="F58" i="18" s="1"/>
  <c r="H58" i="18" s="1"/>
  <c r="H57" i="18"/>
  <c r="F57" i="18"/>
  <c r="D57" i="18"/>
  <c r="C57" i="18"/>
  <c r="D56" i="18"/>
  <c r="C56" i="18"/>
  <c r="F56" i="18" s="1"/>
  <c r="H56" i="18" s="1"/>
  <c r="H55" i="18"/>
  <c r="F55" i="18"/>
  <c r="D55" i="18"/>
  <c r="C55" i="18"/>
  <c r="D54" i="18"/>
  <c r="C54" i="18"/>
  <c r="F54" i="18" s="1"/>
  <c r="H54" i="18" s="1"/>
  <c r="H53" i="18"/>
  <c r="F53" i="18"/>
  <c r="D53" i="18"/>
  <c r="C53" i="18"/>
  <c r="D52" i="18"/>
  <c r="C52" i="18"/>
  <c r="F52" i="18" s="1"/>
  <c r="H52" i="18" s="1"/>
  <c r="H51" i="18"/>
  <c r="F51" i="18"/>
  <c r="D51" i="18"/>
  <c r="C51" i="18"/>
  <c r="D50" i="18"/>
  <c r="D60" i="18" s="1"/>
  <c r="C50" i="18"/>
  <c r="E45" i="18"/>
  <c r="D45" i="18"/>
  <c r="C45" i="18"/>
  <c r="F44" i="18"/>
  <c r="F43" i="18"/>
  <c r="F42" i="18"/>
  <c r="F41" i="18"/>
  <c r="F40" i="18"/>
  <c r="F45" i="18" s="1"/>
  <c r="F39" i="18"/>
  <c r="F38" i="18"/>
  <c r="F37" i="18"/>
  <c r="F36" i="18"/>
  <c r="F35" i="18"/>
  <c r="D29" i="18"/>
  <c r="C29" i="18"/>
  <c r="E28" i="18"/>
  <c r="G27" i="18"/>
  <c r="F27" i="18"/>
  <c r="E27" i="18"/>
  <c r="F26" i="18"/>
  <c r="E26" i="18"/>
  <c r="G26" i="18" s="1"/>
  <c r="G25" i="18"/>
  <c r="F25" i="18"/>
  <c r="E25" i="18"/>
  <c r="G24" i="18"/>
  <c r="F24" i="18"/>
  <c r="E24" i="18"/>
  <c r="G23" i="18"/>
  <c r="F23" i="18"/>
  <c r="E23" i="18"/>
  <c r="F22" i="18"/>
  <c r="E22" i="18"/>
  <c r="G22" i="18" s="1"/>
  <c r="F21" i="18"/>
  <c r="E21" i="18"/>
  <c r="G21" i="18" s="1"/>
  <c r="G20" i="18"/>
  <c r="F20" i="18"/>
  <c r="E20" i="18"/>
  <c r="G19" i="18"/>
  <c r="F19" i="18"/>
  <c r="E19" i="18"/>
  <c r="F13" i="18"/>
  <c r="E13" i="18"/>
  <c r="D13" i="18"/>
  <c r="C13" i="18"/>
  <c r="J12" i="18"/>
  <c r="I12" i="18"/>
  <c r="H12" i="18"/>
  <c r="G12" i="18"/>
  <c r="I11" i="18"/>
  <c r="G11" i="18"/>
  <c r="H11" i="18" s="1"/>
  <c r="J11" i="18" s="1"/>
  <c r="J10" i="18"/>
  <c r="I10" i="18"/>
  <c r="H10" i="18"/>
  <c r="G10" i="18"/>
  <c r="I9" i="18"/>
  <c r="G9" i="18"/>
  <c r="H9" i="18" s="1"/>
  <c r="J9" i="18" s="1"/>
  <c r="J8" i="18"/>
  <c r="I8" i="18"/>
  <c r="H8" i="18"/>
  <c r="G8" i="18"/>
  <c r="I7" i="18"/>
  <c r="G7" i="18"/>
  <c r="H7" i="18" s="1"/>
  <c r="J7" i="18" s="1"/>
  <c r="J6" i="18"/>
  <c r="I6" i="18"/>
  <c r="H6" i="18"/>
  <c r="G6" i="18"/>
  <c r="I5" i="18"/>
  <c r="G5" i="18"/>
  <c r="H5" i="18" s="1"/>
  <c r="J5" i="18" s="1"/>
  <c r="J4" i="18"/>
  <c r="I4" i="18"/>
  <c r="H4" i="18"/>
  <c r="G4" i="18"/>
  <c r="I3" i="18"/>
  <c r="G3" i="18"/>
  <c r="G13" i="18" s="1"/>
  <c r="I13" i="18" s="1"/>
  <c r="G60" i="17"/>
  <c r="E60" i="17"/>
  <c r="F59" i="17"/>
  <c r="H59" i="17" s="1"/>
  <c r="D59" i="17"/>
  <c r="C59" i="17"/>
  <c r="D58" i="17"/>
  <c r="C58" i="17"/>
  <c r="F58" i="17" s="1"/>
  <c r="H58" i="17" s="1"/>
  <c r="F57" i="17"/>
  <c r="H57" i="17" s="1"/>
  <c r="D57" i="17"/>
  <c r="C57" i="17"/>
  <c r="D56" i="17"/>
  <c r="C56" i="17"/>
  <c r="D55" i="17"/>
  <c r="F55" i="17" s="1"/>
  <c r="H55" i="17" s="1"/>
  <c r="C55" i="17"/>
  <c r="D54" i="17"/>
  <c r="C54" i="17"/>
  <c r="D53" i="17"/>
  <c r="F53" i="17" s="1"/>
  <c r="H53" i="17" s="1"/>
  <c r="C53" i="17"/>
  <c r="D52" i="17"/>
  <c r="C52" i="17"/>
  <c r="F52" i="17" s="1"/>
  <c r="H52" i="17" s="1"/>
  <c r="F51" i="17"/>
  <c r="H51" i="17" s="1"/>
  <c r="D51" i="17"/>
  <c r="C51" i="17"/>
  <c r="D50" i="17"/>
  <c r="D60" i="17" s="1"/>
  <c r="C50" i="17"/>
  <c r="F50" i="17" s="1"/>
  <c r="E45" i="17"/>
  <c r="D45" i="17"/>
  <c r="C45" i="17"/>
  <c r="F44" i="17"/>
  <c r="F43" i="17"/>
  <c r="F42" i="17"/>
  <c r="F41" i="17"/>
  <c r="F40" i="17"/>
  <c r="F39" i="17"/>
  <c r="F38" i="17"/>
  <c r="F37" i="17"/>
  <c r="F36" i="17"/>
  <c r="F35" i="17"/>
  <c r="F45" i="17" s="1"/>
  <c r="D29" i="17"/>
  <c r="C29" i="17"/>
  <c r="E28" i="17"/>
  <c r="G27" i="17"/>
  <c r="F27" i="17"/>
  <c r="E27" i="17"/>
  <c r="G26" i="17"/>
  <c r="F26" i="17"/>
  <c r="E26" i="17"/>
  <c r="G25" i="17"/>
  <c r="F25" i="17"/>
  <c r="E25" i="17"/>
  <c r="F24" i="17"/>
  <c r="E24" i="17"/>
  <c r="G24" i="17" s="1"/>
  <c r="F23" i="17"/>
  <c r="E23" i="17"/>
  <c r="G23" i="17" s="1"/>
  <c r="G22" i="17"/>
  <c r="F22" i="17"/>
  <c r="E22" i="17"/>
  <c r="F21" i="17"/>
  <c r="E21" i="17"/>
  <c r="G21" i="17" s="1"/>
  <c r="F20" i="17"/>
  <c r="E20" i="17"/>
  <c r="G20" i="17" s="1"/>
  <c r="G19" i="17"/>
  <c r="F19" i="17"/>
  <c r="E19" i="17"/>
  <c r="F13" i="17"/>
  <c r="E13" i="17"/>
  <c r="D13" i="17"/>
  <c r="C13" i="17"/>
  <c r="G12" i="17"/>
  <c r="I12" i="17" s="1"/>
  <c r="G11" i="17"/>
  <c r="G10" i="17"/>
  <c r="I10" i="17" s="1"/>
  <c r="G9" i="17"/>
  <c r="H9" i="17" s="1"/>
  <c r="J9" i="17" s="1"/>
  <c r="J8" i="17"/>
  <c r="H8" i="17"/>
  <c r="G8" i="17"/>
  <c r="I8" i="17" s="1"/>
  <c r="I7" i="17"/>
  <c r="G7" i="17"/>
  <c r="H7" i="17" s="1"/>
  <c r="J7" i="17" s="1"/>
  <c r="G6" i="17"/>
  <c r="G13" i="17" s="1"/>
  <c r="I13" i="17" s="1"/>
  <c r="I5" i="17"/>
  <c r="G5" i="17"/>
  <c r="H5" i="17" s="1"/>
  <c r="J5" i="17" s="1"/>
  <c r="G4" i="17"/>
  <c r="I4" i="17" s="1"/>
  <c r="J3" i="17"/>
  <c r="I3" i="17"/>
  <c r="H3" i="17"/>
  <c r="G3" i="17"/>
  <c r="G60" i="16"/>
  <c r="E60" i="16"/>
  <c r="D59" i="16"/>
  <c r="C59" i="16"/>
  <c r="F59" i="16" s="1"/>
  <c r="H59" i="16" s="1"/>
  <c r="F58" i="16"/>
  <c r="H58" i="16" s="1"/>
  <c r="D58" i="16"/>
  <c r="C58" i="16"/>
  <c r="D57" i="16"/>
  <c r="C57" i="16"/>
  <c r="F57" i="16" s="1"/>
  <c r="H57" i="16" s="1"/>
  <c r="F56" i="16"/>
  <c r="H56" i="16" s="1"/>
  <c r="D56" i="16"/>
  <c r="C56" i="16"/>
  <c r="D55" i="16"/>
  <c r="C55" i="16"/>
  <c r="F55" i="16" s="1"/>
  <c r="H55" i="16" s="1"/>
  <c r="F54" i="16"/>
  <c r="H54" i="16" s="1"/>
  <c r="D54" i="16"/>
  <c r="C54" i="16"/>
  <c r="D53" i="16"/>
  <c r="C53" i="16"/>
  <c r="F53" i="16" s="1"/>
  <c r="H53" i="16" s="1"/>
  <c r="F52" i="16"/>
  <c r="H52" i="16" s="1"/>
  <c r="D52" i="16"/>
  <c r="C52" i="16"/>
  <c r="D51" i="16"/>
  <c r="C51" i="16"/>
  <c r="F51" i="16" s="1"/>
  <c r="H51" i="16" s="1"/>
  <c r="F50" i="16"/>
  <c r="D50" i="16"/>
  <c r="D60" i="16" s="1"/>
  <c r="C50" i="16"/>
  <c r="C60" i="16" s="1"/>
  <c r="E45" i="16"/>
  <c r="D45" i="16"/>
  <c r="C45" i="16"/>
  <c r="F44" i="16"/>
  <c r="F43" i="16"/>
  <c r="F42" i="16"/>
  <c r="F41" i="16"/>
  <c r="F40" i="16"/>
  <c r="F39" i="16"/>
  <c r="F38" i="16"/>
  <c r="F37" i="16"/>
  <c r="F36" i="16"/>
  <c r="F35" i="16"/>
  <c r="F45" i="16" s="1"/>
  <c r="C30" i="16"/>
  <c r="E29" i="16"/>
  <c r="D29" i="16"/>
  <c r="C29" i="16"/>
  <c r="G27" i="16"/>
  <c r="F27" i="16"/>
  <c r="G26" i="16"/>
  <c r="F26" i="16"/>
  <c r="G25" i="16"/>
  <c r="F25" i="16"/>
  <c r="G24" i="16"/>
  <c r="F24" i="16"/>
  <c r="G23" i="16"/>
  <c r="F23" i="16"/>
  <c r="G22" i="16"/>
  <c r="F22" i="16"/>
  <c r="G21" i="16"/>
  <c r="F21" i="16"/>
  <c r="G20" i="16"/>
  <c r="F20" i="16"/>
  <c r="G19" i="16"/>
  <c r="F19" i="16"/>
  <c r="F13" i="16"/>
  <c r="E13" i="16"/>
  <c r="D13" i="16"/>
  <c r="C13" i="16"/>
  <c r="J12" i="16"/>
  <c r="I12" i="16"/>
  <c r="H12" i="16"/>
  <c r="G12" i="16"/>
  <c r="G11" i="16"/>
  <c r="I11" i="16" s="1"/>
  <c r="J10" i="16"/>
  <c r="I10" i="16"/>
  <c r="H10" i="16"/>
  <c r="G10" i="16"/>
  <c r="G9" i="16"/>
  <c r="I9" i="16" s="1"/>
  <c r="J8" i="16"/>
  <c r="I8" i="16"/>
  <c r="H8" i="16"/>
  <c r="G8" i="16"/>
  <c r="G7" i="16"/>
  <c r="I7" i="16" s="1"/>
  <c r="J6" i="16"/>
  <c r="I6" i="16"/>
  <c r="H6" i="16"/>
  <c r="G6" i="16"/>
  <c r="G5" i="16"/>
  <c r="I5" i="16" s="1"/>
  <c r="J4" i="16"/>
  <c r="I4" i="16"/>
  <c r="H4" i="16"/>
  <c r="G4" i="16"/>
  <c r="G3" i="16"/>
  <c r="G13" i="16" s="1"/>
  <c r="I13" i="16" s="1"/>
  <c r="G61" i="15"/>
  <c r="E61" i="15"/>
  <c r="F60" i="15"/>
  <c r="H60" i="15" s="1"/>
  <c r="D60" i="15"/>
  <c r="C60" i="15"/>
  <c r="D59" i="15"/>
  <c r="C59" i="15"/>
  <c r="F59" i="15" s="1"/>
  <c r="H59" i="15" s="1"/>
  <c r="F58" i="15"/>
  <c r="H58" i="15" s="1"/>
  <c r="D58" i="15"/>
  <c r="C58" i="15"/>
  <c r="D57" i="15"/>
  <c r="C57" i="15"/>
  <c r="F57" i="15" s="1"/>
  <c r="H57" i="15" s="1"/>
  <c r="F56" i="15"/>
  <c r="H56" i="15" s="1"/>
  <c r="D56" i="15"/>
  <c r="C56" i="15"/>
  <c r="D55" i="15"/>
  <c r="C55" i="15"/>
  <c r="F55" i="15" s="1"/>
  <c r="H55" i="15" s="1"/>
  <c r="F54" i="15"/>
  <c r="H54" i="15" s="1"/>
  <c r="D54" i="15"/>
  <c r="C54" i="15"/>
  <c r="D53" i="15"/>
  <c r="C53" i="15"/>
  <c r="F53" i="15" s="1"/>
  <c r="H53" i="15" s="1"/>
  <c r="F52" i="15"/>
  <c r="H52" i="15" s="1"/>
  <c r="D52" i="15"/>
  <c r="C52" i="15"/>
  <c r="D51" i="15"/>
  <c r="D61" i="15" s="1"/>
  <c r="C51" i="15"/>
  <c r="F51" i="15" s="1"/>
  <c r="E46" i="15"/>
  <c r="D46" i="15"/>
  <c r="C46" i="15"/>
  <c r="F45" i="15"/>
  <c r="F44" i="15"/>
  <c r="F43" i="15"/>
  <c r="F42" i="15"/>
  <c r="F41" i="15"/>
  <c r="F40" i="15"/>
  <c r="F39" i="15"/>
  <c r="F38" i="15"/>
  <c r="F37" i="15"/>
  <c r="F36" i="15"/>
  <c r="D30" i="15"/>
  <c r="C30" i="15"/>
  <c r="G29" i="15"/>
  <c r="F29" i="15"/>
  <c r="E29" i="15"/>
  <c r="F28" i="15"/>
  <c r="E28" i="15"/>
  <c r="G28" i="15" s="1"/>
  <c r="F27" i="15"/>
  <c r="E27" i="15"/>
  <c r="G27" i="15" s="1"/>
  <c r="G26" i="15"/>
  <c r="F26" i="15"/>
  <c r="E26" i="15"/>
  <c r="F25" i="15"/>
  <c r="E25" i="15"/>
  <c r="G25" i="15" s="1"/>
  <c r="G24" i="15"/>
  <c r="F24" i="15"/>
  <c r="E24" i="15"/>
  <c r="F23" i="15"/>
  <c r="E23" i="15"/>
  <c r="G23" i="15" s="1"/>
  <c r="F22" i="15"/>
  <c r="E22" i="15"/>
  <c r="G22" i="15" s="1"/>
  <c r="G21" i="15"/>
  <c r="F21" i="15"/>
  <c r="E21" i="15"/>
  <c r="F20" i="15"/>
  <c r="E20" i="15"/>
  <c r="G20" i="15" s="1"/>
  <c r="F14" i="15"/>
  <c r="E14" i="15"/>
  <c r="D14" i="15"/>
  <c r="C14" i="15"/>
  <c r="J13" i="15"/>
  <c r="I13" i="15"/>
  <c r="H13" i="15"/>
  <c r="G13" i="15"/>
  <c r="G12" i="15"/>
  <c r="I12" i="15" s="1"/>
  <c r="J11" i="15"/>
  <c r="I11" i="15"/>
  <c r="H11" i="15"/>
  <c r="G11" i="15"/>
  <c r="G10" i="15"/>
  <c r="I10" i="15" s="1"/>
  <c r="J9" i="15"/>
  <c r="I9" i="15"/>
  <c r="H9" i="15"/>
  <c r="G9" i="15"/>
  <c r="G8" i="15"/>
  <c r="I8" i="15" s="1"/>
  <c r="J7" i="15"/>
  <c r="I7" i="15"/>
  <c r="H7" i="15"/>
  <c r="G7" i="15"/>
  <c r="G6" i="15"/>
  <c r="I6" i="15" s="1"/>
  <c r="J5" i="15"/>
  <c r="I5" i="15"/>
  <c r="H5" i="15"/>
  <c r="G5" i="15"/>
  <c r="L4" i="15"/>
  <c r="G4" i="15"/>
  <c r="M72" i="14"/>
  <c r="L72" i="14"/>
  <c r="K72" i="14"/>
  <c r="J72" i="14"/>
  <c r="I72" i="14"/>
  <c r="H72" i="14"/>
  <c r="G72" i="14"/>
  <c r="F72" i="14"/>
  <c r="E72" i="14"/>
  <c r="D72" i="14"/>
  <c r="C72" i="14"/>
  <c r="B71" i="14"/>
  <c r="B49" i="14"/>
  <c r="B27" i="14"/>
  <c r="B5" i="14"/>
  <c r="M72" i="13"/>
  <c r="L72" i="13"/>
  <c r="K72" i="13"/>
  <c r="J72" i="13"/>
  <c r="I72" i="13"/>
  <c r="H72" i="13"/>
  <c r="G72" i="13"/>
  <c r="F72" i="13"/>
  <c r="E72" i="13"/>
  <c r="D72" i="13"/>
  <c r="C72" i="13"/>
  <c r="B71" i="13"/>
  <c r="B49" i="13"/>
  <c r="B27" i="13"/>
  <c r="B5" i="13"/>
  <c r="M72" i="12"/>
  <c r="L72" i="12"/>
  <c r="K72" i="12"/>
  <c r="J72" i="12"/>
  <c r="I72" i="12"/>
  <c r="H72" i="12"/>
  <c r="G72" i="12"/>
  <c r="F72" i="12"/>
  <c r="E72" i="12"/>
  <c r="D72" i="12"/>
  <c r="C72" i="12"/>
  <c r="B71" i="12"/>
  <c r="B49" i="12"/>
  <c r="B27" i="12"/>
  <c r="B5" i="12"/>
  <c r="M72" i="11"/>
  <c r="L72" i="11"/>
  <c r="K72" i="11"/>
  <c r="J72" i="11"/>
  <c r="I72" i="11"/>
  <c r="H72" i="11"/>
  <c r="G72" i="11"/>
  <c r="F72" i="11"/>
  <c r="E72" i="11"/>
  <c r="D72" i="11"/>
  <c r="C72" i="11"/>
  <c r="B71" i="11"/>
  <c r="B49" i="11"/>
  <c r="B27" i="11"/>
  <c r="B5" i="11"/>
  <c r="M72" i="10"/>
  <c r="L72" i="10"/>
  <c r="K72" i="10"/>
  <c r="J72" i="10"/>
  <c r="I72" i="10"/>
  <c r="H72" i="10"/>
  <c r="G72" i="10"/>
  <c r="F72" i="10"/>
  <c r="E72" i="10"/>
  <c r="D72" i="10"/>
  <c r="C72" i="10"/>
  <c r="B71" i="10"/>
  <c r="B49" i="10"/>
  <c r="B27" i="10"/>
  <c r="B5" i="10"/>
  <c r="M72" i="9"/>
  <c r="L72" i="9"/>
  <c r="K72" i="9"/>
  <c r="J72" i="9"/>
  <c r="I72" i="9"/>
  <c r="H72" i="9"/>
  <c r="G72" i="9"/>
  <c r="F72" i="9"/>
  <c r="E72" i="9"/>
  <c r="D72" i="9"/>
  <c r="C72" i="9"/>
  <c r="B71" i="9"/>
  <c r="B49" i="9"/>
  <c r="B27" i="9"/>
  <c r="B5" i="9"/>
  <c r="M72" i="8"/>
  <c r="L72" i="8"/>
  <c r="K72" i="8"/>
  <c r="J72" i="8"/>
  <c r="I72" i="8"/>
  <c r="H72" i="8"/>
  <c r="G72" i="8"/>
  <c r="F72" i="8"/>
  <c r="E72" i="8"/>
  <c r="D72" i="8"/>
  <c r="C72" i="8"/>
  <c r="B71" i="8"/>
  <c r="B49" i="8"/>
  <c r="B27" i="8"/>
  <c r="B5" i="8"/>
  <c r="M72" i="7"/>
  <c r="L72" i="7"/>
  <c r="K72" i="7"/>
  <c r="J72" i="7"/>
  <c r="I72" i="7"/>
  <c r="H72" i="7"/>
  <c r="G72" i="7"/>
  <c r="F72" i="7"/>
  <c r="E72" i="7"/>
  <c r="D72" i="7"/>
  <c r="C72" i="7"/>
  <c r="G71" i="7"/>
  <c r="B71" i="7"/>
  <c r="B49" i="7"/>
  <c r="B27" i="7"/>
  <c r="B5" i="7"/>
  <c r="M72" i="6"/>
  <c r="L72" i="6"/>
  <c r="K72" i="6"/>
  <c r="J72" i="6"/>
  <c r="I72" i="6"/>
  <c r="H72" i="6"/>
  <c r="G72" i="6"/>
  <c r="F72" i="6"/>
  <c r="E72" i="6"/>
  <c r="D72" i="6"/>
  <c r="C72" i="6"/>
  <c r="B71" i="6"/>
  <c r="B49" i="6"/>
  <c r="B27" i="6"/>
  <c r="B5" i="6"/>
  <c r="M72" i="5"/>
  <c r="L72" i="5"/>
  <c r="K72" i="5"/>
  <c r="J72" i="5"/>
  <c r="I72" i="5"/>
  <c r="H72" i="5"/>
  <c r="G72" i="5"/>
  <c r="F72" i="5"/>
  <c r="E72" i="5"/>
  <c r="D72" i="5"/>
  <c r="C72" i="5"/>
  <c r="B71" i="5"/>
  <c r="B49" i="5"/>
  <c r="B27" i="5"/>
  <c r="B5" i="5"/>
  <c r="G60" i="4"/>
  <c r="F60" i="4"/>
  <c r="E60" i="4"/>
  <c r="H59" i="4"/>
  <c r="H58" i="4"/>
  <c r="D58" i="4"/>
  <c r="C58" i="4"/>
  <c r="D57" i="4"/>
  <c r="C57" i="4"/>
  <c r="D56" i="4"/>
  <c r="C56" i="4"/>
  <c r="D55" i="4"/>
  <c r="C55" i="4"/>
  <c r="D54" i="4"/>
  <c r="C54" i="4"/>
  <c r="H54" i="4" s="1"/>
  <c r="D53" i="4"/>
  <c r="C53" i="4"/>
  <c r="D52" i="4"/>
  <c r="C52" i="4"/>
  <c r="H52" i="4" s="1"/>
  <c r="D51" i="4"/>
  <c r="C51" i="4"/>
  <c r="D50" i="4"/>
  <c r="C50" i="4"/>
  <c r="E45" i="4"/>
  <c r="D45" i="4"/>
  <c r="C45" i="4"/>
  <c r="F43" i="4"/>
  <c r="F42" i="4"/>
  <c r="F41" i="4"/>
  <c r="F40" i="4"/>
  <c r="F39" i="4"/>
  <c r="F38" i="4"/>
  <c r="F37" i="4"/>
  <c r="F36" i="4"/>
  <c r="F35" i="4"/>
  <c r="H29" i="4"/>
  <c r="E29" i="4"/>
  <c r="C30" i="4" s="1"/>
  <c r="D29" i="4"/>
  <c r="C29" i="4"/>
  <c r="F13" i="4"/>
  <c r="E13" i="4"/>
  <c r="D13" i="4"/>
  <c r="C13" i="4"/>
  <c r="H12" i="4"/>
  <c r="J12" i="4" s="1"/>
  <c r="G12" i="4"/>
  <c r="I12" i="4" s="1"/>
  <c r="G11" i="4"/>
  <c r="I11" i="4" s="1"/>
  <c r="H10" i="4"/>
  <c r="J10" i="4" s="1"/>
  <c r="G10" i="4"/>
  <c r="I10" i="4" s="1"/>
  <c r="G9" i="4"/>
  <c r="I9" i="4" s="1"/>
  <c r="H8" i="4"/>
  <c r="J8" i="4" s="1"/>
  <c r="G8" i="4"/>
  <c r="I8" i="4" s="1"/>
  <c r="G7" i="4"/>
  <c r="I7" i="4" s="1"/>
  <c r="G6" i="4"/>
  <c r="I6" i="4" s="1"/>
  <c r="G5" i="4"/>
  <c r="I5" i="4" s="1"/>
  <c r="G4" i="4"/>
  <c r="I4" i="4" s="1"/>
  <c r="G3" i="4"/>
  <c r="H3" i="4" s="1"/>
  <c r="J3" i="4" s="1"/>
  <c r="M71" i="14"/>
  <c r="L71" i="14"/>
  <c r="K71" i="14"/>
  <c r="J71" i="14"/>
  <c r="I71" i="14"/>
  <c r="H71" i="14"/>
  <c r="G71" i="14"/>
  <c r="F71" i="14"/>
  <c r="E71" i="14"/>
  <c r="D71" i="14"/>
  <c r="B72" i="14"/>
  <c r="B73" i="14" s="1"/>
  <c r="M71" i="13"/>
  <c r="L71" i="13"/>
  <c r="K71" i="13"/>
  <c r="J71" i="13"/>
  <c r="I71" i="13"/>
  <c r="H71" i="13"/>
  <c r="G71" i="13"/>
  <c r="F71" i="13"/>
  <c r="E71" i="13"/>
  <c r="D71" i="13"/>
  <c r="B72" i="13"/>
  <c r="M71" i="12"/>
  <c r="L71" i="12"/>
  <c r="K71" i="12"/>
  <c r="J71" i="12"/>
  <c r="I71" i="12"/>
  <c r="H71" i="12"/>
  <c r="G71" i="12"/>
  <c r="F71" i="12"/>
  <c r="E71" i="12"/>
  <c r="D71" i="12"/>
  <c r="M71" i="11"/>
  <c r="L71" i="11"/>
  <c r="K71" i="11"/>
  <c r="J71" i="11"/>
  <c r="I71" i="11"/>
  <c r="H71" i="11"/>
  <c r="G71" i="11"/>
  <c r="F71" i="11"/>
  <c r="E71" i="11"/>
  <c r="D71" i="11"/>
  <c r="C71" i="11"/>
  <c r="B72" i="11"/>
  <c r="B73" i="11" s="1"/>
  <c r="M71" i="10"/>
  <c r="L71" i="10"/>
  <c r="K71" i="10"/>
  <c r="J71" i="10"/>
  <c r="I71" i="10"/>
  <c r="H71" i="10"/>
  <c r="G71" i="10"/>
  <c r="F71" i="10"/>
  <c r="E71" i="10"/>
  <c r="D71" i="10"/>
  <c r="C71" i="10"/>
  <c r="B72" i="10"/>
  <c r="B73" i="10" s="1"/>
  <c r="M71" i="9"/>
  <c r="L71" i="9"/>
  <c r="K71" i="9"/>
  <c r="J71" i="9"/>
  <c r="I71" i="9"/>
  <c r="H71" i="9"/>
  <c r="G71" i="9"/>
  <c r="F71" i="9"/>
  <c r="E71" i="9"/>
  <c r="D71" i="9"/>
  <c r="M71" i="8"/>
  <c r="L71" i="8"/>
  <c r="K71" i="8"/>
  <c r="J71" i="8"/>
  <c r="I71" i="8"/>
  <c r="H71" i="8"/>
  <c r="G71" i="8"/>
  <c r="F71" i="8"/>
  <c r="E71" i="8"/>
  <c r="D71" i="8"/>
  <c r="C71" i="8"/>
  <c r="B72" i="8"/>
  <c r="B73" i="8" s="1"/>
  <c r="M71" i="7"/>
  <c r="L71" i="7"/>
  <c r="K71" i="7"/>
  <c r="J71" i="7"/>
  <c r="I71" i="7"/>
  <c r="H71" i="7"/>
  <c r="F71" i="7"/>
  <c r="E71" i="7"/>
  <c r="D71" i="7"/>
  <c r="C71" i="7"/>
  <c r="B72" i="7"/>
  <c r="B73" i="7" s="1"/>
  <c r="M71" i="6"/>
  <c r="L71" i="6"/>
  <c r="K71" i="6"/>
  <c r="J71" i="6"/>
  <c r="I71" i="6"/>
  <c r="H71" i="6"/>
  <c r="G71" i="6"/>
  <c r="F71" i="6"/>
  <c r="E71" i="6"/>
  <c r="D71" i="6"/>
  <c r="B72" i="6"/>
  <c r="B73" i="6" s="1"/>
  <c r="M71" i="5"/>
  <c r="L71" i="5"/>
  <c r="K71" i="5"/>
  <c r="J71" i="5"/>
  <c r="I71" i="5"/>
  <c r="H71" i="5"/>
  <c r="G71" i="5"/>
  <c r="F71" i="5"/>
  <c r="E71" i="5"/>
  <c r="D71" i="5"/>
  <c r="C71" i="5"/>
  <c r="B72" i="5"/>
  <c r="B73" i="5" s="1"/>
  <c r="M50" i="14"/>
  <c r="E50" i="14"/>
  <c r="B50" i="14"/>
  <c r="J49" i="13"/>
  <c r="J50" i="13"/>
  <c r="I50" i="13"/>
  <c r="E50" i="13"/>
  <c r="B50" i="13"/>
  <c r="E49" i="12"/>
  <c r="M50" i="12"/>
  <c r="J50" i="12"/>
  <c r="H50" i="12"/>
  <c r="E50" i="12"/>
  <c r="B50" i="12"/>
  <c r="J50" i="11"/>
  <c r="H50" i="11"/>
  <c r="E50" i="11"/>
  <c r="E49" i="10"/>
  <c r="M50" i="10"/>
  <c r="L50" i="10"/>
  <c r="J50" i="10"/>
  <c r="E50" i="10"/>
  <c r="D50" i="10"/>
  <c r="B50" i="10"/>
  <c r="K50" i="9"/>
  <c r="J50" i="9"/>
  <c r="E50" i="9"/>
  <c r="C50" i="9"/>
  <c r="B50" i="9"/>
  <c r="M49" i="8"/>
  <c r="E49" i="8"/>
  <c r="D49" i="8"/>
  <c r="M50" i="8"/>
  <c r="L50" i="8"/>
  <c r="J50" i="8"/>
  <c r="E50" i="8"/>
  <c r="D50" i="8"/>
  <c r="C50" i="8"/>
  <c r="B50" i="8"/>
  <c r="K50" i="7"/>
  <c r="J50" i="7"/>
  <c r="E50" i="7"/>
  <c r="C50" i="7"/>
  <c r="B50" i="7"/>
  <c r="M49" i="6"/>
  <c r="E49" i="6"/>
  <c r="D49" i="6"/>
  <c r="M50" i="6"/>
  <c r="L50" i="6"/>
  <c r="J50" i="6"/>
  <c r="E50" i="6"/>
  <c r="D50" i="6"/>
  <c r="C50" i="6"/>
  <c r="B50" i="6"/>
  <c r="K50" i="5"/>
  <c r="E50" i="5"/>
  <c r="C50" i="5"/>
  <c r="B50" i="5"/>
  <c r="M27" i="14"/>
  <c r="L27" i="14"/>
  <c r="G27" i="14"/>
  <c r="E27" i="14"/>
  <c r="D27" i="14"/>
  <c r="M28" i="14"/>
  <c r="L28" i="14"/>
  <c r="K28" i="14"/>
  <c r="J28" i="14"/>
  <c r="G28" i="14"/>
  <c r="F28" i="14"/>
  <c r="E28" i="14"/>
  <c r="D28" i="14"/>
  <c r="C28" i="14"/>
  <c r="B28" i="14"/>
  <c r="M27" i="13"/>
  <c r="L27" i="13"/>
  <c r="G27" i="13"/>
  <c r="E27" i="13"/>
  <c r="D27" i="13"/>
  <c r="M28" i="13"/>
  <c r="L28" i="13"/>
  <c r="K28" i="13"/>
  <c r="J28" i="13"/>
  <c r="I28" i="13"/>
  <c r="G28" i="13"/>
  <c r="F28" i="13"/>
  <c r="D28" i="13"/>
  <c r="C28" i="13"/>
  <c r="B28" i="13"/>
  <c r="M27" i="12"/>
  <c r="L27" i="12"/>
  <c r="G27" i="12"/>
  <c r="D27" i="12"/>
  <c r="M28" i="12"/>
  <c r="L28" i="12"/>
  <c r="K28" i="12"/>
  <c r="J28" i="12"/>
  <c r="I28" i="12"/>
  <c r="G28" i="12"/>
  <c r="F28" i="12"/>
  <c r="D28" i="12"/>
  <c r="C28" i="12"/>
  <c r="B28" i="12"/>
  <c r="L27" i="11"/>
  <c r="G27" i="11"/>
  <c r="D27" i="11"/>
  <c r="M28" i="11"/>
  <c r="L28" i="11"/>
  <c r="K28" i="11"/>
  <c r="J28" i="11"/>
  <c r="I28" i="11"/>
  <c r="G28" i="11"/>
  <c r="F28" i="11"/>
  <c r="E27" i="11"/>
  <c r="D28" i="11"/>
  <c r="C28" i="11"/>
  <c r="B28" i="11"/>
  <c r="L27" i="10"/>
  <c r="G27" i="10"/>
  <c r="E27" i="10"/>
  <c r="D27" i="10"/>
  <c r="M28" i="10"/>
  <c r="L28" i="10"/>
  <c r="K28" i="10"/>
  <c r="J28" i="10"/>
  <c r="I28" i="10"/>
  <c r="G28" i="10"/>
  <c r="F28" i="10"/>
  <c r="D28" i="10"/>
  <c r="C28" i="10"/>
  <c r="B28" i="10"/>
  <c r="M27" i="9"/>
  <c r="L27" i="9"/>
  <c r="G27" i="9"/>
  <c r="E27" i="9"/>
  <c r="M28" i="9"/>
  <c r="L28" i="9"/>
  <c r="K28" i="9"/>
  <c r="J28" i="9"/>
  <c r="I28" i="9"/>
  <c r="G28" i="9"/>
  <c r="F28" i="9"/>
  <c r="D28" i="9"/>
  <c r="B28" i="9"/>
  <c r="M27" i="8"/>
  <c r="G27" i="8"/>
  <c r="M28" i="8"/>
  <c r="L28" i="8"/>
  <c r="J28" i="8"/>
  <c r="I28" i="8"/>
  <c r="G28" i="8"/>
  <c r="F28" i="8"/>
  <c r="D28" i="8"/>
  <c r="D27" i="8"/>
  <c r="B28" i="8"/>
  <c r="G27" i="7"/>
  <c r="D27" i="7"/>
  <c r="M28" i="7"/>
  <c r="L28" i="7"/>
  <c r="L27" i="7"/>
  <c r="J28" i="7"/>
  <c r="I28" i="7"/>
  <c r="G28" i="7"/>
  <c r="F28" i="7"/>
  <c r="D28" i="7"/>
  <c r="B28" i="7"/>
  <c r="G27" i="6"/>
  <c r="E27" i="6"/>
  <c r="M28" i="6"/>
  <c r="L28" i="6"/>
  <c r="L27" i="6"/>
  <c r="J28" i="6"/>
  <c r="I28" i="6"/>
  <c r="G28" i="6"/>
  <c r="F28" i="6"/>
  <c r="D28" i="6"/>
  <c r="B28" i="6"/>
  <c r="M27" i="5"/>
  <c r="I27" i="5"/>
  <c r="G27" i="5"/>
  <c r="F27" i="5"/>
  <c r="E27" i="5"/>
  <c r="L28" i="5"/>
  <c r="I28" i="5"/>
  <c r="G28" i="5"/>
  <c r="F28" i="5"/>
  <c r="D28" i="5"/>
  <c r="M5" i="14"/>
  <c r="G5" i="14"/>
  <c r="D5" i="14"/>
  <c r="M6" i="14"/>
  <c r="L6" i="14"/>
  <c r="I6" i="14"/>
  <c r="G6" i="14"/>
  <c r="F6" i="14"/>
  <c r="E6" i="14"/>
  <c r="D6" i="14"/>
  <c r="M5" i="13"/>
  <c r="G5" i="13"/>
  <c r="F5" i="13"/>
  <c r="E5" i="13"/>
  <c r="M6" i="13"/>
  <c r="L6" i="13"/>
  <c r="I6" i="13"/>
  <c r="G6" i="13"/>
  <c r="F6" i="13"/>
  <c r="E6" i="13"/>
  <c r="D6" i="13"/>
  <c r="M5" i="12"/>
  <c r="I5" i="12"/>
  <c r="G5" i="12"/>
  <c r="F5" i="12"/>
  <c r="E5" i="12"/>
  <c r="M6" i="12"/>
  <c r="L6" i="12"/>
  <c r="I6" i="12"/>
  <c r="G6" i="12"/>
  <c r="F6" i="12"/>
  <c r="E6" i="12"/>
  <c r="D6" i="12"/>
  <c r="D5" i="12"/>
  <c r="G5" i="11"/>
  <c r="D5" i="11"/>
  <c r="M6" i="11"/>
  <c r="L6" i="11"/>
  <c r="I6" i="11"/>
  <c r="I5" i="11"/>
  <c r="G6" i="11"/>
  <c r="F6" i="11"/>
  <c r="E6" i="11"/>
  <c r="D6" i="11"/>
  <c r="G5" i="10"/>
  <c r="F5" i="10"/>
  <c r="D5" i="10"/>
  <c r="M6" i="10"/>
  <c r="L6" i="10"/>
  <c r="I6" i="10"/>
  <c r="G6" i="10"/>
  <c r="F6" i="10"/>
  <c r="E6" i="10"/>
  <c r="D6" i="10"/>
  <c r="M5" i="9"/>
  <c r="G5" i="9"/>
  <c r="F5" i="9"/>
  <c r="M6" i="9"/>
  <c r="L6" i="9"/>
  <c r="I6" i="9"/>
  <c r="G6" i="9"/>
  <c r="F6" i="9"/>
  <c r="E6" i="9"/>
  <c r="D6" i="9"/>
  <c r="G5" i="8"/>
  <c r="F5" i="8"/>
  <c r="E5" i="8"/>
  <c r="D5" i="8"/>
  <c r="M6" i="8"/>
  <c r="L6" i="8"/>
  <c r="I6" i="8"/>
  <c r="G6" i="8"/>
  <c r="F6" i="8"/>
  <c r="E6" i="8"/>
  <c r="D6" i="8"/>
  <c r="F5" i="7"/>
  <c r="E5" i="7"/>
  <c r="M6" i="7"/>
  <c r="L6" i="7"/>
  <c r="I6" i="7"/>
  <c r="H6" i="7"/>
  <c r="G6" i="7"/>
  <c r="F6" i="7"/>
  <c r="E6" i="7"/>
  <c r="D6" i="7"/>
  <c r="L5" i="6"/>
  <c r="F5" i="6"/>
  <c r="E5" i="6"/>
  <c r="M6" i="6"/>
  <c r="L6" i="6"/>
  <c r="J6" i="6"/>
  <c r="I6" i="6"/>
  <c r="H6" i="6"/>
  <c r="G6" i="6"/>
  <c r="F6" i="6"/>
  <c r="E6" i="6"/>
  <c r="D6" i="6"/>
  <c r="B6" i="6"/>
  <c r="M5" i="5"/>
  <c r="L5" i="5"/>
  <c r="H5" i="5"/>
  <c r="D5" i="5"/>
  <c r="M6" i="5"/>
  <c r="J6" i="5"/>
  <c r="I6" i="5"/>
  <c r="H6" i="5"/>
  <c r="G6" i="5"/>
  <c r="E6" i="5"/>
  <c r="E5" i="5"/>
  <c r="B6" i="5"/>
  <c r="H7" i="4" l="1"/>
  <c r="J7" i="4" s="1"/>
  <c r="H9" i="4"/>
  <c r="J9" i="4" s="1"/>
  <c r="H56" i="4"/>
  <c r="H53" i="4"/>
  <c r="H6" i="4"/>
  <c r="J6" i="4" s="1"/>
  <c r="H57" i="4"/>
  <c r="H50" i="14"/>
  <c r="H4" i="4"/>
  <c r="C60" i="4"/>
  <c r="I5" i="5"/>
  <c r="I5" i="7"/>
  <c r="H5" i="4"/>
  <c r="H50" i="4"/>
  <c r="G13" i="4"/>
  <c r="I13" i="4" s="1"/>
  <c r="H11" i="4"/>
  <c r="H5" i="7"/>
  <c r="H55" i="4"/>
  <c r="J6" i="7"/>
  <c r="J5" i="7"/>
  <c r="C6" i="9"/>
  <c r="C5" i="9"/>
  <c r="J6" i="12"/>
  <c r="J5" i="12"/>
  <c r="E28" i="7"/>
  <c r="F27" i="7"/>
  <c r="H6" i="13"/>
  <c r="H5" i="13"/>
  <c r="K28" i="5"/>
  <c r="K27" i="5"/>
  <c r="H6" i="8"/>
  <c r="H5" i="8"/>
  <c r="B6" i="10"/>
  <c r="I5" i="10"/>
  <c r="I27" i="6"/>
  <c r="E27" i="7"/>
  <c r="E28" i="8"/>
  <c r="F27" i="8"/>
  <c r="C28" i="9"/>
  <c r="C27" i="9"/>
  <c r="I27" i="10"/>
  <c r="E28" i="12"/>
  <c r="F27" i="12"/>
  <c r="I28" i="14"/>
  <c r="I27" i="14"/>
  <c r="F6" i="5"/>
  <c r="K6" i="9"/>
  <c r="K5" i="9"/>
  <c r="B28" i="5"/>
  <c r="I27" i="13"/>
  <c r="H50" i="8"/>
  <c r="H50" i="10"/>
  <c r="C6" i="7"/>
  <c r="C5" i="7"/>
  <c r="K6" i="12"/>
  <c r="K5" i="12"/>
  <c r="C28" i="5"/>
  <c r="C27" i="5"/>
  <c r="H28" i="14"/>
  <c r="H27" i="14"/>
  <c r="C50" i="11"/>
  <c r="C49" i="11"/>
  <c r="G5" i="6"/>
  <c r="L5" i="7"/>
  <c r="J6" i="10"/>
  <c r="J5" i="10"/>
  <c r="E5" i="11"/>
  <c r="F5" i="5"/>
  <c r="C6" i="6"/>
  <c r="B7" i="6" s="1"/>
  <c r="C5" i="6"/>
  <c r="K6" i="6"/>
  <c r="K5" i="6"/>
  <c r="H5" i="6"/>
  <c r="M5" i="7"/>
  <c r="D5" i="9"/>
  <c r="C6" i="10"/>
  <c r="C5" i="10"/>
  <c r="K6" i="10"/>
  <c r="K5" i="10"/>
  <c r="L5" i="10"/>
  <c r="H6" i="11"/>
  <c r="H5" i="11"/>
  <c r="F5" i="11"/>
  <c r="B6" i="13"/>
  <c r="J6" i="13"/>
  <c r="J5" i="13"/>
  <c r="I5" i="13"/>
  <c r="E5" i="14"/>
  <c r="E28" i="5"/>
  <c r="M28" i="5"/>
  <c r="H28" i="7"/>
  <c r="H27" i="7"/>
  <c r="H28" i="11"/>
  <c r="B29" i="11" s="1"/>
  <c r="H27" i="11"/>
  <c r="C28" i="8"/>
  <c r="C27" i="8"/>
  <c r="L5" i="12"/>
  <c r="H28" i="6"/>
  <c r="H27" i="6"/>
  <c r="H28" i="10"/>
  <c r="B29" i="10" s="1"/>
  <c r="H27" i="10"/>
  <c r="G5" i="5"/>
  <c r="I5" i="6"/>
  <c r="D5" i="7"/>
  <c r="B6" i="8"/>
  <c r="J6" i="8"/>
  <c r="J5" i="8"/>
  <c r="I5" i="8"/>
  <c r="E5" i="9"/>
  <c r="M5" i="10"/>
  <c r="C6" i="13"/>
  <c r="C5" i="13"/>
  <c r="K6" i="13"/>
  <c r="K5" i="13"/>
  <c r="L5" i="13"/>
  <c r="H6" i="14"/>
  <c r="H5" i="14"/>
  <c r="F5" i="14"/>
  <c r="D27" i="5"/>
  <c r="C28" i="6"/>
  <c r="B29" i="6" s="1"/>
  <c r="C27" i="6"/>
  <c r="K28" i="6"/>
  <c r="K27" i="6"/>
  <c r="M27" i="6"/>
  <c r="I27" i="7"/>
  <c r="E27" i="8"/>
  <c r="E28" i="9"/>
  <c r="F27" i="9"/>
  <c r="M27" i="10"/>
  <c r="I27" i="11"/>
  <c r="E27" i="12"/>
  <c r="E28" i="13"/>
  <c r="F27" i="13"/>
  <c r="H50" i="9"/>
  <c r="B6" i="7"/>
  <c r="H28" i="8"/>
  <c r="H27" i="8"/>
  <c r="D27" i="9"/>
  <c r="H28" i="12"/>
  <c r="B29" i="12" s="1"/>
  <c r="H27" i="12"/>
  <c r="H50" i="5"/>
  <c r="I50" i="9"/>
  <c r="I49" i="9"/>
  <c r="K50" i="11"/>
  <c r="K49" i="11"/>
  <c r="C50" i="13"/>
  <c r="C49" i="13"/>
  <c r="J50" i="14"/>
  <c r="H6" i="10"/>
  <c r="H5" i="10"/>
  <c r="J28" i="5"/>
  <c r="J27" i="5"/>
  <c r="J5" i="6"/>
  <c r="K6" i="8"/>
  <c r="K5" i="8"/>
  <c r="B6" i="11"/>
  <c r="J6" i="11"/>
  <c r="J5" i="11"/>
  <c r="L6" i="5"/>
  <c r="M5" i="8"/>
  <c r="K6" i="11"/>
  <c r="K5" i="11"/>
  <c r="H6" i="12"/>
  <c r="H5" i="12"/>
  <c r="B6" i="14"/>
  <c r="I5" i="14"/>
  <c r="K28" i="7"/>
  <c r="B29" i="7" s="1"/>
  <c r="K27" i="7"/>
  <c r="M27" i="7"/>
  <c r="I27" i="8"/>
  <c r="E28" i="10"/>
  <c r="F27" i="10"/>
  <c r="M27" i="11"/>
  <c r="I27" i="12"/>
  <c r="L5" i="9"/>
  <c r="B6" i="12"/>
  <c r="K28" i="8"/>
  <c r="K27" i="8"/>
  <c r="I27" i="9"/>
  <c r="E28" i="11"/>
  <c r="F27" i="11"/>
  <c r="B50" i="11"/>
  <c r="K6" i="7"/>
  <c r="K5" i="7"/>
  <c r="C6" i="12"/>
  <c r="C5" i="12"/>
  <c r="L27" i="5"/>
  <c r="C6" i="5"/>
  <c r="B7" i="5" s="1"/>
  <c r="C5" i="5"/>
  <c r="K6" i="5"/>
  <c r="K5" i="5"/>
  <c r="C6" i="8"/>
  <c r="C5" i="8"/>
  <c r="L5" i="8"/>
  <c r="H6" i="9"/>
  <c r="H5" i="9"/>
  <c r="D6" i="5"/>
  <c r="C6" i="11"/>
  <c r="C5" i="11"/>
  <c r="L5" i="11"/>
  <c r="J6" i="14"/>
  <c r="J5" i="14"/>
  <c r="H28" i="5"/>
  <c r="H27" i="5"/>
  <c r="E28" i="6"/>
  <c r="F27" i="6"/>
  <c r="C28" i="7"/>
  <c r="C27" i="7"/>
  <c r="J5" i="5"/>
  <c r="D5" i="6"/>
  <c r="M5" i="6"/>
  <c r="G5" i="7"/>
  <c r="B6" i="9"/>
  <c r="J6" i="9"/>
  <c r="J5" i="9"/>
  <c r="I5" i="9"/>
  <c r="E5" i="10"/>
  <c r="M5" i="11"/>
  <c r="D5" i="13"/>
  <c r="C6" i="14"/>
  <c r="C5" i="14"/>
  <c r="K6" i="14"/>
  <c r="K5" i="14"/>
  <c r="L5" i="14"/>
  <c r="D27" i="6"/>
  <c r="L27" i="8"/>
  <c r="H28" i="9"/>
  <c r="H27" i="9"/>
  <c r="H28" i="13"/>
  <c r="H27" i="13"/>
  <c r="B29" i="8"/>
  <c r="B29" i="13"/>
  <c r="B29" i="14"/>
  <c r="F27" i="14"/>
  <c r="C50" i="10"/>
  <c r="C49" i="10"/>
  <c r="K50" i="10"/>
  <c r="K49" i="10"/>
  <c r="C50" i="14"/>
  <c r="C49" i="14"/>
  <c r="L50" i="14"/>
  <c r="D50" i="14"/>
  <c r="D49" i="14"/>
  <c r="M49" i="14"/>
  <c r="C50" i="12"/>
  <c r="C49" i="12"/>
  <c r="L50" i="12"/>
  <c r="J27" i="6"/>
  <c r="J27" i="7"/>
  <c r="J27" i="8"/>
  <c r="J27" i="9"/>
  <c r="J27" i="10"/>
  <c r="J27" i="11"/>
  <c r="J27" i="12"/>
  <c r="J27" i="13"/>
  <c r="J27" i="14"/>
  <c r="J49" i="9"/>
  <c r="L49" i="10"/>
  <c r="D50" i="12"/>
  <c r="D49" i="12"/>
  <c r="M49" i="12"/>
  <c r="E49" i="14"/>
  <c r="K27" i="9"/>
  <c r="C27" i="10"/>
  <c r="K27" i="10"/>
  <c r="C27" i="11"/>
  <c r="K27" i="11"/>
  <c r="C27" i="12"/>
  <c r="K27" i="12"/>
  <c r="C27" i="13"/>
  <c r="K27" i="13"/>
  <c r="C27" i="14"/>
  <c r="K27" i="14"/>
  <c r="C49" i="5"/>
  <c r="C49" i="6"/>
  <c r="C49" i="7"/>
  <c r="K49" i="7"/>
  <c r="C49" i="8"/>
  <c r="C49" i="9"/>
  <c r="K49" i="9"/>
  <c r="D49" i="10"/>
  <c r="M49" i="10"/>
  <c r="B72" i="9"/>
  <c r="B73" i="9" s="1"/>
  <c r="C71" i="9"/>
  <c r="B72" i="12"/>
  <c r="B73" i="12" s="1"/>
  <c r="C71" i="12"/>
  <c r="F45" i="4"/>
  <c r="C71" i="6"/>
  <c r="C71" i="14"/>
  <c r="B73" i="13"/>
  <c r="D60" i="4"/>
  <c r="C71" i="13"/>
  <c r="H51" i="4"/>
  <c r="F61" i="15"/>
  <c r="C62" i="15" s="1"/>
  <c r="H51" i="15"/>
  <c r="H61" i="15" s="1"/>
  <c r="G14" i="15"/>
  <c r="I14" i="15" s="1"/>
  <c r="I4" i="15"/>
  <c r="H4" i="15"/>
  <c r="F50" i="18"/>
  <c r="C60" i="18"/>
  <c r="H13" i="27"/>
  <c r="C14" i="26"/>
  <c r="J13" i="26"/>
  <c r="H60" i="27"/>
  <c r="C61" i="27" s="1"/>
  <c r="I3" i="4"/>
  <c r="I12" i="21"/>
  <c r="H12" i="21"/>
  <c r="J12" i="21" s="1"/>
  <c r="F46" i="15"/>
  <c r="F60" i="16"/>
  <c r="C61" i="16" s="1"/>
  <c r="H50" i="16"/>
  <c r="H60" i="16" s="1"/>
  <c r="I6" i="17"/>
  <c r="H6" i="17"/>
  <c r="I11" i="17"/>
  <c r="H11" i="17"/>
  <c r="H5" i="22"/>
  <c r="I5" i="22"/>
  <c r="E29" i="18"/>
  <c r="C30" i="18" s="1"/>
  <c r="G13" i="19"/>
  <c r="I13" i="19" s="1"/>
  <c r="I3" i="19"/>
  <c r="H13" i="20"/>
  <c r="F60" i="20"/>
  <c r="C61" i="20" s="1"/>
  <c r="H7" i="22"/>
  <c r="I7" i="22"/>
  <c r="H60" i="22"/>
  <c r="F45" i="24"/>
  <c r="E29" i="26"/>
  <c r="C30" i="26" s="1"/>
  <c r="H6" i="15"/>
  <c r="H8" i="15"/>
  <c r="H10" i="15"/>
  <c r="H12" i="15"/>
  <c r="E30" i="15"/>
  <c r="C31" i="15" s="1"/>
  <c r="C61" i="15"/>
  <c r="H3" i="16"/>
  <c r="H5" i="16"/>
  <c r="H7" i="16"/>
  <c r="H9" i="16"/>
  <c r="H11" i="16"/>
  <c r="H4" i="17"/>
  <c r="I9" i="17"/>
  <c r="H12" i="17"/>
  <c r="H3" i="19"/>
  <c r="C60" i="20"/>
  <c r="I3" i="16"/>
  <c r="F56" i="17"/>
  <c r="H56" i="17" s="1"/>
  <c r="H9" i="19"/>
  <c r="H8" i="21"/>
  <c r="J8" i="21" s="1"/>
  <c r="H9" i="22"/>
  <c r="I9" i="22"/>
  <c r="H50" i="23"/>
  <c r="H60" i="23" s="1"/>
  <c r="D60" i="23"/>
  <c r="D60" i="25"/>
  <c r="E29" i="17"/>
  <c r="C30" i="17" s="1"/>
  <c r="H50" i="17"/>
  <c r="E29" i="25"/>
  <c r="C30" i="25" s="1"/>
  <c r="C60" i="25"/>
  <c r="H50" i="26"/>
  <c r="H60" i="26" s="1"/>
  <c r="D60" i="26"/>
  <c r="E29" i="27"/>
  <c r="C30" i="27" s="1"/>
  <c r="G23" i="27"/>
  <c r="H10" i="17"/>
  <c r="H5" i="19"/>
  <c r="E29" i="19"/>
  <c r="C30" i="19" s="1"/>
  <c r="G19" i="19"/>
  <c r="H60" i="20"/>
  <c r="H3" i="22"/>
  <c r="G13" i="22"/>
  <c r="I13" i="22" s="1"/>
  <c r="I3" i="22"/>
  <c r="H11" i="22"/>
  <c r="I11" i="22"/>
  <c r="F54" i="17"/>
  <c r="H54" i="17" s="1"/>
  <c r="F60" i="19"/>
  <c r="C61" i="19" s="1"/>
  <c r="H50" i="19"/>
  <c r="H60" i="19" s="1"/>
  <c r="F45" i="20"/>
  <c r="H10" i="21"/>
  <c r="J10" i="21" s="1"/>
  <c r="G13" i="21"/>
  <c r="I13" i="21" s="1"/>
  <c r="J13" i="24"/>
  <c r="C14" i="24"/>
  <c r="H60" i="24"/>
  <c r="F45" i="26"/>
  <c r="H3" i="23"/>
  <c r="H5" i="23"/>
  <c r="H7" i="23"/>
  <c r="H9" i="23"/>
  <c r="H11" i="23"/>
  <c r="C60" i="24"/>
  <c r="H3" i="25"/>
  <c r="H5" i="25"/>
  <c r="H7" i="25"/>
  <c r="H9" i="25"/>
  <c r="H11" i="25"/>
  <c r="C60" i="17"/>
  <c r="H3" i="18"/>
  <c r="F50" i="21"/>
  <c r="I3" i="23"/>
  <c r="E29" i="24"/>
  <c r="C30" i="24" s="1"/>
  <c r="I3" i="25"/>
  <c r="H50" i="25"/>
  <c r="H60" i="25" s="1"/>
  <c r="C60" i="27"/>
  <c r="H4" i="19"/>
  <c r="H6" i="19"/>
  <c r="H8" i="19"/>
  <c r="H10" i="19"/>
  <c r="H12" i="19"/>
  <c r="H3" i="21"/>
  <c r="H5" i="21"/>
  <c r="J5" i="21" s="1"/>
  <c r="H7" i="21"/>
  <c r="J7" i="21" s="1"/>
  <c r="H9" i="21"/>
  <c r="J9" i="21" s="1"/>
  <c r="H11" i="21"/>
  <c r="J11" i="21" s="1"/>
  <c r="H4" i="22"/>
  <c r="H6" i="22"/>
  <c r="H8" i="22"/>
  <c r="H10" i="22"/>
  <c r="H12" i="22"/>
  <c r="J3" i="24"/>
  <c r="H4" i="23"/>
  <c r="H6" i="23"/>
  <c r="H8" i="23"/>
  <c r="H10" i="23"/>
  <c r="H12" i="23"/>
  <c r="H13" i="4" l="1"/>
  <c r="H60" i="4"/>
  <c r="B7" i="10"/>
  <c r="C29" i="10" s="1"/>
  <c r="B29" i="9"/>
  <c r="J5" i="4"/>
  <c r="H50" i="7"/>
  <c r="B7" i="13"/>
  <c r="J4" i="4"/>
  <c r="J11" i="4"/>
  <c r="C29" i="6"/>
  <c r="H13" i="21"/>
  <c r="J3" i="21"/>
  <c r="H13" i="19"/>
  <c r="J3" i="19"/>
  <c r="C14" i="27"/>
  <c r="J13" i="27"/>
  <c r="J6" i="22"/>
  <c r="J9" i="22"/>
  <c r="J5" i="22"/>
  <c r="J8" i="19"/>
  <c r="J7" i="22"/>
  <c r="H14" i="15"/>
  <c r="J4" i="15"/>
  <c r="C14" i="4"/>
  <c r="J13" i="4"/>
  <c r="B7" i="14"/>
  <c r="C29" i="14" s="1"/>
  <c r="B7" i="8"/>
  <c r="C29" i="8" s="1"/>
  <c r="J10" i="22"/>
  <c r="J7" i="25"/>
  <c r="J8" i="22"/>
  <c r="J12" i="17"/>
  <c r="J10" i="19"/>
  <c r="F60" i="18"/>
  <c r="C61" i="18" s="1"/>
  <c r="H50" i="18"/>
  <c r="H60" i="18" s="1"/>
  <c r="J8" i="23"/>
  <c r="J4" i="22"/>
  <c r="F60" i="21"/>
  <c r="C61" i="21" s="1"/>
  <c r="H50" i="21"/>
  <c r="H60" i="21" s="1"/>
  <c r="J5" i="19"/>
  <c r="H60" i="17"/>
  <c r="J4" i="17"/>
  <c r="H13" i="17"/>
  <c r="J12" i="15"/>
  <c r="J11" i="17"/>
  <c r="J6" i="23"/>
  <c r="J6" i="19"/>
  <c r="H13" i="18"/>
  <c r="J3" i="18"/>
  <c r="J11" i="23"/>
  <c r="J11" i="22"/>
  <c r="J10" i="17"/>
  <c r="F60" i="17"/>
  <c r="C61" i="17" s="1"/>
  <c r="J9" i="19"/>
  <c r="J11" i="16"/>
  <c r="J10" i="15"/>
  <c r="B29" i="5"/>
  <c r="C29" i="5" s="1"/>
  <c r="H13" i="23"/>
  <c r="J3" i="23"/>
  <c r="H13" i="16"/>
  <c r="J3" i="16"/>
  <c r="J5" i="25"/>
  <c r="J10" i="23"/>
  <c r="C14" i="20"/>
  <c r="J13" i="20"/>
  <c r="J12" i="19"/>
  <c r="J9" i="23"/>
  <c r="J9" i="16"/>
  <c r="J8" i="15"/>
  <c r="J6" i="17"/>
  <c r="J11" i="25"/>
  <c r="J7" i="23"/>
  <c r="J7" i="16"/>
  <c r="J6" i="15"/>
  <c r="C29" i="13"/>
  <c r="B7" i="9"/>
  <c r="B7" i="12"/>
  <c r="C29" i="12" s="1"/>
  <c r="B7" i="7"/>
  <c r="C29" i="7" s="1"/>
  <c r="J12" i="23"/>
  <c r="H13" i="25"/>
  <c r="J3" i="25"/>
  <c r="J4" i="23"/>
  <c r="J4" i="19"/>
  <c r="J12" i="22"/>
  <c r="J9" i="25"/>
  <c r="J5" i="23"/>
  <c r="H13" i="22"/>
  <c r="J3" i="22"/>
  <c r="J5" i="16"/>
  <c r="B7" i="11"/>
  <c r="C29" i="11" s="1"/>
  <c r="H50" i="6" l="1"/>
  <c r="C29" i="9"/>
  <c r="H50" i="13"/>
  <c r="I49" i="13"/>
  <c r="D50" i="11"/>
  <c r="E49" i="11"/>
  <c r="D49" i="11"/>
  <c r="D50" i="5"/>
  <c r="D49" i="5"/>
  <c r="E49" i="5"/>
  <c r="F50" i="12"/>
  <c r="F49" i="12"/>
  <c r="C14" i="16"/>
  <c r="J13" i="16"/>
  <c r="K50" i="12"/>
  <c r="K49" i="12"/>
  <c r="L49" i="12"/>
  <c r="C14" i="18"/>
  <c r="J13" i="18"/>
  <c r="I50" i="12"/>
  <c r="J49" i="12"/>
  <c r="I49" i="12"/>
  <c r="K50" i="14"/>
  <c r="K49" i="14"/>
  <c r="L49" i="14"/>
  <c r="G50" i="12"/>
  <c r="H49" i="12"/>
  <c r="G49" i="12"/>
  <c r="M50" i="5"/>
  <c r="M49" i="5"/>
  <c r="C14" i="21"/>
  <c r="J13" i="21"/>
  <c r="F50" i="5"/>
  <c r="F49" i="5"/>
  <c r="M50" i="11"/>
  <c r="M49" i="11"/>
  <c r="K50" i="6"/>
  <c r="K49" i="6"/>
  <c r="L49" i="6"/>
  <c r="G50" i="6"/>
  <c r="G49" i="6"/>
  <c r="H49" i="6"/>
  <c r="G50" i="14"/>
  <c r="G49" i="14"/>
  <c r="H49" i="14"/>
  <c r="G50" i="10"/>
  <c r="G49" i="10"/>
  <c r="H49" i="10"/>
  <c r="C15" i="15"/>
  <c r="J14" i="15"/>
  <c r="F50" i="14"/>
  <c r="B51" i="14" s="1"/>
  <c r="C51" i="14" s="1"/>
  <c r="F49" i="14"/>
  <c r="M50" i="7"/>
  <c r="M49" i="7"/>
  <c r="K50" i="8"/>
  <c r="K49" i="8"/>
  <c r="L49" i="8"/>
  <c r="C14" i="23"/>
  <c r="J13" i="23"/>
  <c r="L50" i="13"/>
  <c r="L49" i="13"/>
  <c r="F50" i="8"/>
  <c r="F49" i="8"/>
  <c r="F50" i="10"/>
  <c r="B51" i="10" s="1"/>
  <c r="C51" i="10" s="1"/>
  <c r="F49" i="10"/>
  <c r="G50" i="9"/>
  <c r="G49" i="9"/>
  <c r="H49" i="9"/>
  <c r="G50" i="8"/>
  <c r="G49" i="8"/>
  <c r="H49" i="8"/>
  <c r="G50" i="13"/>
  <c r="H49" i="13"/>
  <c r="G49" i="13"/>
  <c r="C14" i="17"/>
  <c r="J13" i="17"/>
  <c r="G50" i="5"/>
  <c r="G49" i="5"/>
  <c r="H49" i="5"/>
  <c r="I50" i="6"/>
  <c r="I49" i="6"/>
  <c r="J49" i="6"/>
  <c r="D50" i="7"/>
  <c r="D49" i="7"/>
  <c r="E49" i="7"/>
  <c r="F50" i="13"/>
  <c r="F49" i="13"/>
  <c r="I50" i="5"/>
  <c r="I49" i="5"/>
  <c r="L50" i="7"/>
  <c r="L49" i="7"/>
  <c r="F50" i="11"/>
  <c r="F49" i="11"/>
  <c r="I50" i="8"/>
  <c r="I49" i="8"/>
  <c r="J49" i="8"/>
  <c r="G50" i="11"/>
  <c r="G49" i="11"/>
  <c r="H49" i="11"/>
  <c r="L50" i="9"/>
  <c r="L49" i="9"/>
  <c r="M50" i="9"/>
  <c r="M49" i="9"/>
  <c r="I50" i="11"/>
  <c r="J49" i="11"/>
  <c r="I49" i="11"/>
  <c r="K50" i="13"/>
  <c r="K49" i="13"/>
  <c r="I50" i="7"/>
  <c r="I49" i="7"/>
  <c r="J49" i="7"/>
  <c r="I50" i="10"/>
  <c r="J49" i="10"/>
  <c r="I49" i="10"/>
  <c r="J13" i="22"/>
  <c r="C14" i="22"/>
  <c r="F50" i="7"/>
  <c r="F49" i="7"/>
  <c r="F50" i="6"/>
  <c r="F49" i="6"/>
  <c r="L50" i="5"/>
  <c r="L49" i="5"/>
  <c r="J50" i="5"/>
  <c r="J49" i="5"/>
  <c r="K49" i="5"/>
  <c r="D50" i="9"/>
  <c r="D49" i="9"/>
  <c r="E49" i="9"/>
  <c r="J13" i="19"/>
  <c r="C14" i="19"/>
  <c r="D50" i="13"/>
  <c r="D49" i="13"/>
  <c r="E49" i="13"/>
  <c r="C14" i="25"/>
  <c r="J13" i="25"/>
  <c r="F50" i="9"/>
  <c r="F49" i="9"/>
  <c r="L50" i="11"/>
  <c r="L49" i="11"/>
  <c r="I50" i="14"/>
  <c r="I49" i="14"/>
  <c r="J49" i="14"/>
  <c r="M50" i="13"/>
  <c r="M49" i="13"/>
  <c r="G50" i="7"/>
  <c r="G49" i="7"/>
  <c r="H49" i="7"/>
  <c r="B51" i="6" l="1"/>
  <c r="C51" i="6" s="1"/>
  <c r="B51" i="13"/>
  <c r="C51" i="13" s="1"/>
  <c r="B51" i="5"/>
  <c r="C51" i="5" s="1"/>
  <c r="B51" i="9"/>
  <c r="C51" i="9" s="1"/>
  <c r="B51" i="7"/>
  <c r="C51" i="7" s="1"/>
  <c r="B51" i="8"/>
  <c r="C51" i="8" s="1"/>
  <c r="B51" i="12"/>
  <c r="C51" i="12" s="1"/>
  <c r="B51" i="11"/>
  <c r="C51" i="11" s="1"/>
</calcChain>
</file>

<file path=xl/sharedStrings.xml><?xml version="1.0" encoding="utf-8"?>
<sst xmlns="http://schemas.openxmlformats.org/spreadsheetml/2006/main" count="1844" uniqueCount="155">
  <si>
    <t>TAGIHAN JULI</t>
  </si>
  <si>
    <t>No</t>
  </si>
  <si>
    <t>OLT</t>
  </si>
  <si>
    <t>Tagihan JuliTerkirim</t>
  </si>
  <si>
    <t>Bayar dimuka</t>
  </si>
  <si>
    <t>Diskon</t>
  </si>
  <si>
    <t>Bulanan</t>
  </si>
  <si>
    <t>Total Pembayaran</t>
  </si>
  <si>
    <t>Piutang Juli</t>
  </si>
  <si>
    <t>Pendapatan %</t>
  </si>
  <si>
    <t>Piutang %</t>
  </si>
  <si>
    <t>Whusnet</t>
  </si>
  <si>
    <t>Sumberejo</t>
  </si>
  <si>
    <t>Jetis</t>
  </si>
  <si>
    <t>Siman</t>
  </si>
  <si>
    <t>Temon</t>
  </si>
  <si>
    <t>Sambit</t>
  </si>
  <si>
    <t>Slahung</t>
  </si>
  <si>
    <t>Pacitan</t>
  </si>
  <si>
    <t>Caruban</t>
  </si>
  <si>
    <t>Ngreco</t>
  </si>
  <si>
    <t>Total</t>
  </si>
  <si>
    <t>piutang Mei</t>
  </si>
  <si>
    <t>PIUTANG Bulan Lalu</t>
  </si>
  <si>
    <t>Piutang Bulan Lalu</t>
  </si>
  <si>
    <t>Sudah Dibayar</t>
  </si>
  <si>
    <t>Belum Dibayar</t>
  </si>
  <si>
    <t>Sudah di bayar %</t>
  </si>
  <si>
    <t>Belum dibayar %</t>
  </si>
  <si>
    <t>Piutang tak Tertagih</t>
  </si>
  <si>
    <t>sisa piutang</t>
  </si>
  <si>
    <t>Total pelanggan</t>
  </si>
  <si>
    <t>Sudah bayar</t>
  </si>
  <si>
    <t>Belum bayar</t>
  </si>
  <si>
    <t>PELANGGAN (JULI)</t>
  </si>
  <si>
    <t>Piutang</t>
  </si>
  <si>
    <t>Lebih bayar</t>
  </si>
  <si>
    <t>Aktivasi</t>
  </si>
  <si>
    <t>Lainnya</t>
  </si>
  <si>
    <t>Total uang di terima  juli</t>
  </si>
  <si>
    <t xml:space="preserve">Uang diterima juli </t>
  </si>
  <si>
    <t>Jumlah</t>
  </si>
  <si>
    <t>TAGIHAN TERKIRIM</t>
  </si>
  <si>
    <t>KETERANGAN</t>
  </si>
  <si>
    <t>JAN</t>
  </si>
  <si>
    <t>FEB</t>
  </si>
  <si>
    <t>MAR</t>
  </si>
  <si>
    <t>APR</t>
  </si>
  <si>
    <t>MEI</t>
  </si>
  <si>
    <t>JUN</t>
  </si>
  <si>
    <t>JUL</t>
  </si>
  <si>
    <t>AGST</t>
  </si>
  <si>
    <t>SEP</t>
  </si>
  <si>
    <t>OKT</t>
  </si>
  <si>
    <t>NOV</t>
  </si>
  <si>
    <t>DES</t>
  </si>
  <si>
    <t>Pertumbuhan</t>
  </si>
  <si>
    <t>Nominal</t>
  </si>
  <si>
    <t>TAGIHAN TERBAYAR</t>
  </si>
  <si>
    <t>LAPORAN TAHUNAN WHUSNET (2025)</t>
  </si>
  <si>
    <t>LAPORAN TAHUNAN SUMBEREJO (2025)</t>
  </si>
  <si>
    <t>PIUTANG</t>
  </si>
  <si>
    <t>UANG DITERIMA</t>
  </si>
  <si>
    <t>LAPORAN TAHUNAN JETIS (2025)</t>
  </si>
  <si>
    <t>LAPORAN TAHUNAN SIMAN (2025)</t>
  </si>
  <si>
    <t>LAPORAN TAHUNAN TEMON (2025)</t>
  </si>
  <si>
    <t>LAPORAN TAHUNAN SAMBIT (2025)</t>
  </si>
  <si>
    <t>LAPORAN TAHUNAN SLAHUNG (2025)</t>
  </si>
  <si>
    <t>LAPORAN TAHUNAN PACITAN (2025)</t>
  </si>
  <si>
    <t>LAPORAN TAHUNAN CARUBAN (2025)</t>
  </si>
  <si>
    <t>LAPORAN TAHUNAN NGRECO (2025)</t>
  </si>
  <si>
    <t>update</t>
  </si>
  <si>
    <t>TAGIHAN Desember</t>
  </si>
  <si>
    <t>Tagihan Desember Terkirim</t>
  </si>
  <si>
    <t>Piutang Desember</t>
  </si>
  <si>
    <t>piutang Desember</t>
  </si>
  <si>
    <t>PELANGGAN (Desember)</t>
  </si>
  <si>
    <t>Uang diterima Desember</t>
  </si>
  <si>
    <t>Total uang di terima okt</t>
  </si>
  <si>
    <t>Cash</t>
  </si>
  <si>
    <t>Tf</t>
  </si>
  <si>
    <t>TAGIHAN NOVEMBER</t>
  </si>
  <si>
    <t>Tagihan November Terkirim</t>
  </si>
  <si>
    <t>Piutang November</t>
  </si>
  <si>
    <t>TAGIHAN OKTOBER</t>
  </si>
  <si>
    <t>Tagihan Oktober Terkirim</t>
  </si>
  <si>
    <t>Piutang oktober</t>
  </si>
  <si>
    <t>PELANGGAN (NOVEMBER)</t>
  </si>
  <si>
    <t>Uang diterima November</t>
  </si>
  <si>
    <t>Total uang di terima nov</t>
  </si>
  <si>
    <t>PELANGGAN (OKTOBER)</t>
  </si>
  <si>
    <t>Uang diterima Oktober</t>
  </si>
  <si>
    <t>TAGIHAN SEPTEMBER</t>
  </si>
  <si>
    <t>TAGIHAN AGUSTUS</t>
  </si>
  <si>
    <t>Piutang September</t>
  </si>
  <si>
    <t>Piutang Agustus</t>
  </si>
  <si>
    <t>PELANGGAN (SEPTEMBER)</t>
  </si>
  <si>
    <t>PELANGGAN (AGUSTUS)</t>
  </si>
  <si>
    <t>Uang diterima September</t>
  </si>
  <si>
    <t>Total uang di terima sep</t>
  </si>
  <si>
    <t>Uang diterima Agustus</t>
  </si>
  <si>
    <t>Total uang di terima agst</t>
  </si>
  <si>
    <t>TAGIHAN Juli</t>
  </si>
  <si>
    <t>Tagihan Juli Terkirim</t>
  </si>
  <si>
    <t>piutang Juli</t>
  </si>
  <si>
    <t>PELANGGAN (Juli)</t>
  </si>
  <si>
    <t>TAGIHAN Juni</t>
  </si>
  <si>
    <t>Tagihan Juni Terkirim</t>
  </si>
  <si>
    <t>Piutang Juni</t>
  </si>
  <si>
    <t>Uang diterima Juli</t>
  </si>
  <si>
    <t>Total uang di terima juli</t>
  </si>
  <si>
    <t>piutang Juni</t>
  </si>
  <si>
    <t>PELANGGAN (Juni)</t>
  </si>
  <si>
    <t>Uang diterima Juni</t>
  </si>
  <si>
    <t>Total uang di terima juni</t>
  </si>
  <si>
    <t xml:space="preserve">TAGIHAN JUNI </t>
  </si>
  <si>
    <t>Tagihan JuniTerkirim</t>
  </si>
  <si>
    <t xml:space="preserve">Piutang Juni </t>
  </si>
  <si>
    <t>PELANGGAN (JUNI)</t>
  </si>
  <si>
    <t xml:space="preserve">Uang diterima juni </t>
  </si>
  <si>
    <t>Total uang di terima  juji</t>
  </si>
  <si>
    <t>TAGIHAN Mei</t>
  </si>
  <si>
    <t>Tagihan Mei Terkirim</t>
  </si>
  <si>
    <t>Piutang Mei</t>
  </si>
  <si>
    <t>TAGIHAN April</t>
  </si>
  <si>
    <t>Tagihan April Terkirim</t>
  </si>
  <si>
    <t>Piutang April</t>
  </si>
  <si>
    <t>piutang April</t>
  </si>
  <si>
    <t>PELANGGAN (Mei)</t>
  </si>
  <si>
    <t>PELANGGAN (April)</t>
  </si>
  <si>
    <t>TAGIHAN Maret</t>
  </si>
  <si>
    <t>Tagihan Maret Terkirim</t>
  </si>
  <si>
    <t>Piutang Maret</t>
  </si>
  <si>
    <t>Uang diterima April</t>
  </si>
  <si>
    <t>Total uang di terima Maret</t>
  </si>
  <si>
    <t>TAGIHAN Februari</t>
  </si>
  <si>
    <t>Uang diterima Mei</t>
  </si>
  <si>
    <t>Tagihan Februari Terkirim</t>
  </si>
  <si>
    <t>Total uang di terima Mei</t>
  </si>
  <si>
    <t>Piutang Februari</t>
  </si>
  <si>
    <t>piutang Maret</t>
  </si>
  <si>
    <t>PELANGGAN (Maret)</t>
  </si>
  <si>
    <t>piutang Februari</t>
  </si>
  <si>
    <t>Uang diterima Maret</t>
  </si>
  <si>
    <t>Total aktivasi</t>
  </si>
  <si>
    <t>PELANGGAN (Februari)</t>
  </si>
  <si>
    <t>Uang diterima Februari</t>
  </si>
  <si>
    <t>Total uang di terima Feb</t>
  </si>
  <si>
    <t>TAGIHAN Januari</t>
  </si>
  <si>
    <t>Tagihan Januari Terkirim</t>
  </si>
  <si>
    <t>Piutang Januari</t>
  </si>
  <si>
    <t>piutang Januari</t>
  </si>
  <si>
    <t>PELANGGAN (Januari)</t>
  </si>
  <si>
    <t>Uang diterima Januari</t>
  </si>
  <si>
    <t>Total uang di terima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</si>
</sst>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0.0%"/>
  </numFmts>
  <fonts count="10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C6E0B4"/>
        <bgColor rgb="FFC6E0B4"/>
      </patternFill>
    </fill>
    <fill>
      <patternFill patternType="solid">
        <fgColor rgb="FFB6D7A8"/>
        <bgColor rgb="FFB6D7A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164" fontId="5" fillId="0" borderId="1" xfId="0" applyNumberFormat="1" applyFont="1" applyBorder="1"/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right"/>
    </xf>
    <xf numFmtId="9" fontId="1" fillId="4" borderId="1" xfId="0" applyNumberFormat="1" applyFont="1" applyFill="1" applyBorder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wrapText="1"/>
    </xf>
    <xf numFmtId="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0" fontId="8" fillId="0" borderId="1" xfId="0" applyFont="1" applyBorder="1"/>
    <xf numFmtId="165" fontId="8" fillId="0" borderId="1" xfId="0" applyNumberFormat="1" applyFont="1" applyBorder="1"/>
    <xf numFmtId="164" fontId="8" fillId="0" borderId="1" xfId="0" applyNumberFormat="1" applyFont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5" fontId="8" fillId="4" borderId="1" xfId="0" applyNumberFormat="1" applyFont="1" applyFill="1" applyBorder="1"/>
    <xf numFmtId="14" fontId="2" fillId="0" borderId="0" xfId="0" applyNumberFormat="1" applyFont="1"/>
    <xf numFmtId="0" fontId="4" fillId="0" borderId="0" xfId="0" applyFont="1" applyAlignment="1">
      <alignment horizontal="center" wrapText="1"/>
    </xf>
    <xf numFmtId="164" fontId="4" fillId="0" borderId="0" xfId="0" applyNumberFormat="1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Whusnet!$B$4:$M$4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Whusnet!$B$5:$M$5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5-4FCC-B11D-1A6B5C03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098505"/>
        <c:axId val="60654075"/>
      </c:lineChart>
      <c:catAx>
        <c:axId val="982098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54075"/>
        <c:crosses val="autoZero"/>
        <c:auto val="1"/>
        <c:lblAlgn val="ctr"/>
        <c:lblOffset val="100"/>
        <c:noMultiLvlLbl val="1"/>
      </c:catAx>
      <c:valAx>
        <c:axId val="60654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20985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Whusnet!$B$26:$M$26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Whusnet!$B$27:$M$27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3-4104-B083-14F64DE3B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977261"/>
        <c:axId val="125951317"/>
      </c:lineChart>
      <c:catAx>
        <c:axId val="456977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951317"/>
        <c:crosses val="autoZero"/>
        <c:auto val="1"/>
        <c:lblAlgn val="ctr"/>
        <c:lblOffset val="100"/>
        <c:noMultiLvlLbl val="1"/>
      </c:catAx>
      <c:valAx>
        <c:axId val="125951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69772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Whusnet!$B$48:$M$48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Whusnet!$B$49:$M$49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CC-4564-A78C-27BF2D18D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127371"/>
        <c:axId val="1634807841"/>
      </c:lineChart>
      <c:catAx>
        <c:axId val="647127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4807841"/>
        <c:crosses val="autoZero"/>
        <c:auto val="1"/>
        <c:lblAlgn val="ctr"/>
        <c:lblOffset val="100"/>
        <c:noMultiLvlLbl val="1"/>
      </c:catAx>
      <c:valAx>
        <c:axId val="1634807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71273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Whusnet!$B$70:$M$70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Whusnet!$B$71:$M$71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1-49E1-BFE3-D206EF5F2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235862"/>
        <c:axId val="488883115"/>
      </c:lineChart>
      <c:catAx>
        <c:axId val="2070235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8883115"/>
        <c:crosses val="autoZero"/>
        <c:auto val="1"/>
        <c:lblAlgn val="ctr"/>
        <c:lblOffset val="100"/>
        <c:noMultiLvlLbl val="1"/>
      </c:catAx>
      <c:valAx>
        <c:axId val="488883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02358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Sumberejo!$B$4:$M$4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Sumberejo!$B$5:$M$5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9-445D-B5DB-BDB37C9F1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74048"/>
        <c:axId val="1567841387"/>
      </c:lineChart>
      <c:catAx>
        <c:axId val="4267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7841387"/>
        <c:crosses val="autoZero"/>
        <c:auto val="1"/>
        <c:lblAlgn val="ctr"/>
        <c:lblOffset val="100"/>
        <c:noMultiLvlLbl val="1"/>
      </c:catAx>
      <c:valAx>
        <c:axId val="1567841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6740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Sumberejo!$B$26:$M$26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Sumberejo!$B$27:$M$27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F-4D35-BB5A-62EF25EB2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888372"/>
        <c:axId val="1351219730"/>
      </c:lineChart>
      <c:catAx>
        <c:axId val="2098888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1219730"/>
        <c:crosses val="autoZero"/>
        <c:auto val="1"/>
        <c:lblAlgn val="ctr"/>
        <c:lblOffset val="100"/>
        <c:noMultiLvlLbl val="1"/>
      </c:catAx>
      <c:valAx>
        <c:axId val="1351219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88883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Sumberejo!$B$48:$M$48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Sumberejo!$B$49:$M$49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D-4BE5-9E2C-A8D11BF8A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97083"/>
        <c:axId val="346157453"/>
      </c:lineChart>
      <c:catAx>
        <c:axId val="207297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6157453"/>
        <c:crosses val="autoZero"/>
        <c:auto val="1"/>
        <c:lblAlgn val="ctr"/>
        <c:lblOffset val="100"/>
        <c:noMultiLvlLbl val="1"/>
      </c:catAx>
      <c:valAx>
        <c:axId val="346157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2970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Sumberejo!$B$70:$M$70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Sumberejo!$B$71:$M$71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F-462C-8C6D-A7534D9B5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565526"/>
        <c:axId val="1201645372"/>
      </c:lineChart>
      <c:catAx>
        <c:axId val="955565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1645372"/>
        <c:crosses val="autoZero"/>
        <c:auto val="1"/>
        <c:lblAlgn val="ctr"/>
        <c:lblOffset val="100"/>
        <c:noMultiLvlLbl val="1"/>
      </c:catAx>
      <c:valAx>
        <c:axId val="1201645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55655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Jetis!$B$4:$M$4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Jetis!$B$5:$M$5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B-41A1-A173-433BE9087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18191"/>
        <c:axId val="1399170138"/>
      </c:lineChart>
      <c:catAx>
        <c:axId val="45018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9170138"/>
        <c:crosses val="autoZero"/>
        <c:auto val="1"/>
        <c:lblAlgn val="ctr"/>
        <c:lblOffset val="100"/>
        <c:noMultiLvlLbl val="1"/>
      </c:catAx>
      <c:valAx>
        <c:axId val="1399170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0181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Jetis!$B$26:$M$26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Jetis!$B$27:$M$27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8-473B-8868-AD9729A3B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41053"/>
        <c:axId val="674417332"/>
      </c:lineChart>
      <c:catAx>
        <c:axId val="151041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4417332"/>
        <c:crosses val="autoZero"/>
        <c:auto val="1"/>
        <c:lblAlgn val="ctr"/>
        <c:lblOffset val="100"/>
        <c:noMultiLvlLbl val="1"/>
      </c:catAx>
      <c:valAx>
        <c:axId val="674417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0410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Jetis!$B$48:$M$48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Jetis!$B$49:$M$49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8-4C3D-9146-75AD57589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261916"/>
        <c:axId val="1710544949"/>
      </c:lineChart>
      <c:catAx>
        <c:axId val="279261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0544949"/>
        <c:crosses val="autoZero"/>
        <c:auto val="1"/>
        <c:lblAlgn val="ctr"/>
        <c:lblOffset val="100"/>
        <c:noMultiLvlLbl val="1"/>
      </c:catAx>
      <c:valAx>
        <c:axId val="1710544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92619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Jetis!$B$70:$M$70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Jetis!$B$71:$M$71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C-44CD-8541-14F5E55D4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691710"/>
        <c:axId val="198160395"/>
      </c:lineChart>
      <c:catAx>
        <c:axId val="1830691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160395"/>
        <c:crosses val="autoZero"/>
        <c:auto val="1"/>
        <c:lblAlgn val="ctr"/>
        <c:lblOffset val="100"/>
        <c:noMultiLvlLbl val="1"/>
      </c:catAx>
      <c:valAx>
        <c:axId val="198160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06917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Siman!$B$4:$M$4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Siman!$B$5:$M$5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0-4B4D-9ADC-03B4C9E14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666445"/>
        <c:axId val="1544341315"/>
      </c:lineChart>
      <c:catAx>
        <c:axId val="982666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341315"/>
        <c:crosses val="autoZero"/>
        <c:auto val="1"/>
        <c:lblAlgn val="ctr"/>
        <c:lblOffset val="100"/>
        <c:noMultiLvlLbl val="1"/>
      </c:catAx>
      <c:valAx>
        <c:axId val="1544341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26664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Siman!$B$26:$M$26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Siman!$B$27:$M$27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3-483B-B099-DE7085AAE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322369"/>
        <c:axId val="542556104"/>
      </c:lineChart>
      <c:catAx>
        <c:axId val="943322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2556104"/>
        <c:crosses val="autoZero"/>
        <c:auto val="1"/>
        <c:lblAlgn val="ctr"/>
        <c:lblOffset val="100"/>
        <c:noMultiLvlLbl val="1"/>
      </c:catAx>
      <c:valAx>
        <c:axId val="542556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3223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Siman!$B$48:$M$48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Siman!$B$49:$M$49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4-4F40-94D6-C6ED4A8D5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185656"/>
        <c:axId val="405914568"/>
      </c:lineChart>
      <c:catAx>
        <c:axId val="355185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5914568"/>
        <c:crosses val="autoZero"/>
        <c:auto val="1"/>
        <c:lblAlgn val="ctr"/>
        <c:lblOffset val="100"/>
        <c:noMultiLvlLbl val="1"/>
      </c:catAx>
      <c:valAx>
        <c:axId val="4059145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51856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Siman!$B$70:$M$70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Siman!$B$71:$M$71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7-4943-B549-E17F42B29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398654"/>
        <c:axId val="66465961"/>
      </c:lineChart>
      <c:catAx>
        <c:axId val="413398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465961"/>
        <c:crosses val="autoZero"/>
        <c:auto val="1"/>
        <c:lblAlgn val="ctr"/>
        <c:lblOffset val="100"/>
        <c:noMultiLvlLbl val="1"/>
      </c:catAx>
      <c:valAx>
        <c:axId val="66465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33986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Temon!$B$4:$M$4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Temon!$B$5:$M$5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D-43E3-9926-05F73E164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342545"/>
        <c:axId val="87723054"/>
      </c:lineChart>
      <c:catAx>
        <c:axId val="241342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723054"/>
        <c:crosses val="autoZero"/>
        <c:auto val="1"/>
        <c:lblAlgn val="ctr"/>
        <c:lblOffset val="100"/>
        <c:noMultiLvlLbl val="1"/>
      </c:catAx>
      <c:valAx>
        <c:axId val="87723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13425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Temon!$B$26:$M$26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Temon!$B$27:$M$27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A-4C09-A5D1-B0A1DEBA7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519607"/>
        <c:axId val="683177200"/>
      </c:lineChart>
      <c:catAx>
        <c:axId val="1514519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3177200"/>
        <c:crosses val="autoZero"/>
        <c:auto val="1"/>
        <c:lblAlgn val="ctr"/>
        <c:lblOffset val="100"/>
        <c:noMultiLvlLbl val="1"/>
      </c:catAx>
      <c:valAx>
        <c:axId val="683177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45196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Temon!$B$48:$M$48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Temon!$B$49:$M$49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E-45DA-A8B3-445669F35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07948"/>
        <c:axId val="1218444321"/>
      </c:lineChart>
      <c:catAx>
        <c:axId val="92507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8444321"/>
        <c:crosses val="autoZero"/>
        <c:auto val="1"/>
        <c:lblAlgn val="ctr"/>
        <c:lblOffset val="100"/>
        <c:noMultiLvlLbl val="1"/>
      </c:catAx>
      <c:valAx>
        <c:axId val="1218444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079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832131"/>
        <c:axId val="276305260"/>
      </c:lineChart>
      <c:catAx>
        <c:axId val="1023832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6305260"/>
        <c:crosses val="autoZero"/>
        <c:auto val="1"/>
        <c:lblAlgn val="ctr"/>
        <c:lblOffset val="100"/>
        <c:noMultiLvlLbl val="1"/>
      </c:catAx>
      <c:valAx>
        <c:axId val="27630526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238321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Sambit!$B$4:$M$4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Sambit!$B$5:$M$5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E-4391-B6AF-37EE8DB24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5325391"/>
        <c:axId val="2027887809"/>
      </c:lineChart>
      <c:catAx>
        <c:axId val="213532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7887809"/>
        <c:crosses val="autoZero"/>
        <c:auto val="1"/>
        <c:lblAlgn val="ctr"/>
        <c:lblOffset val="100"/>
        <c:noMultiLvlLbl val="1"/>
      </c:catAx>
      <c:valAx>
        <c:axId val="2027887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53253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Sambit!$B$26:$M$26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Sambit!$B$27:$M$27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E-4B1F-88B0-59C04866D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373136"/>
        <c:axId val="1433487345"/>
      </c:lineChart>
      <c:catAx>
        <c:axId val="34037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3487345"/>
        <c:crosses val="autoZero"/>
        <c:auto val="1"/>
        <c:lblAlgn val="ctr"/>
        <c:lblOffset val="100"/>
        <c:noMultiLvlLbl val="1"/>
      </c:catAx>
      <c:valAx>
        <c:axId val="1433487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03731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Sambit!$B$48:$M$48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Sambit!$B$49:$M$49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3-43DD-A481-4675F817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0499611"/>
        <c:axId val="899686119"/>
      </c:lineChart>
      <c:catAx>
        <c:axId val="1620499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9686119"/>
        <c:crosses val="autoZero"/>
        <c:auto val="1"/>
        <c:lblAlgn val="ctr"/>
        <c:lblOffset val="100"/>
        <c:noMultiLvlLbl val="1"/>
      </c:catAx>
      <c:valAx>
        <c:axId val="899686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04996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378350"/>
        <c:axId val="1224664165"/>
      </c:lineChart>
      <c:catAx>
        <c:axId val="1013378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4664165"/>
        <c:crosses val="autoZero"/>
        <c:auto val="1"/>
        <c:lblAlgn val="ctr"/>
        <c:lblOffset val="100"/>
        <c:noMultiLvlLbl val="1"/>
      </c:catAx>
      <c:valAx>
        <c:axId val="122466416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133783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Slahung!$B$4:$M$4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Slahung!$B$5:$M$5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2-432B-A77B-41F2E265C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181630"/>
        <c:axId val="2128732846"/>
      </c:lineChart>
      <c:catAx>
        <c:axId val="584181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8732846"/>
        <c:crosses val="autoZero"/>
        <c:auto val="1"/>
        <c:lblAlgn val="ctr"/>
        <c:lblOffset val="100"/>
        <c:noMultiLvlLbl val="1"/>
      </c:catAx>
      <c:valAx>
        <c:axId val="2128732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41816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Slahung!$B$26:$M$26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Slahung!$B$27:$M$27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F6-4699-BD9C-CF61DD4DB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60106"/>
        <c:axId val="512363878"/>
      </c:lineChart>
      <c:catAx>
        <c:axId val="15960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2363878"/>
        <c:crosses val="autoZero"/>
        <c:auto val="1"/>
        <c:lblAlgn val="ctr"/>
        <c:lblOffset val="100"/>
        <c:noMultiLvlLbl val="1"/>
      </c:catAx>
      <c:valAx>
        <c:axId val="512363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601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Slahung!$B$48:$M$48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Slahung!$B$49:$M$49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0-4874-B912-77C162E71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615998"/>
        <c:axId val="581336855"/>
      </c:lineChart>
      <c:catAx>
        <c:axId val="759615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1336855"/>
        <c:crosses val="autoZero"/>
        <c:auto val="1"/>
        <c:lblAlgn val="ctr"/>
        <c:lblOffset val="100"/>
        <c:noMultiLvlLbl val="1"/>
      </c:catAx>
      <c:valAx>
        <c:axId val="581336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6159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Slahung!$B$70:$M$70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Slahung!$B$71:$M$71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4-4FD8-8B05-A20FF42C8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400963"/>
        <c:axId val="484196938"/>
      </c:lineChart>
      <c:catAx>
        <c:axId val="1792400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4196938"/>
        <c:crosses val="autoZero"/>
        <c:auto val="1"/>
        <c:lblAlgn val="ctr"/>
        <c:lblOffset val="100"/>
        <c:noMultiLvlLbl val="1"/>
      </c:catAx>
      <c:valAx>
        <c:axId val="484196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24009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Pacitan!$B$4:$M$4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Pacitan!$B$5:$M$5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0-4587-9AB1-CF286272E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076972"/>
        <c:axId val="1137009348"/>
      </c:lineChart>
      <c:catAx>
        <c:axId val="302076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7009348"/>
        <c:crosses val="autoZero"/>
        <c:auto val="1"/>
        <c:lblAlgn val="ctr"/>
        <c:lblOffset val="100"/>
        <c:noMultiLvlLbl val="1"/>
      </c:catAx>
      <c:valAx>
        <c:axId val="1137009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20769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Pacitan!$B$26:$M$26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Pacitan!$B$27:$M$27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7-4088-9992-8F1BC24A5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405893"/>
        <c:axId val="1257334051"/>
      </c:lineChart>
      <c:catAx>
        <c:axId val="240405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7334051"/>
        <c:crosses val="autoZero"/>
        <c:auto val="1"/>
        <c:lblAlgn val="ctr"/>
        <c:lblOffset val="100"/>
        <c:noMultiLvlLbl val="1"/>
      </c:catAx>
      <c:valAx>
        <c:axId val="1257334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4058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Pacitan!$B$48:$M$48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Pacitan!$B$49:$M$49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0-49A8-9A32-0509B2315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851015"/>
        <c:axId val="475931593"/>
      </c:lineChart>
      <c:catAx>
        <c:axId val="1106851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5931593"/>
        <c:crosses val="autoZero"/>
        <c:auto val="1"/>
        <c:lblAlgn val="ctr"/>
        <c:lblOffset val="100"/>
        <c:noMultiLvlLbl val="1"/>
      </c:catAx>
      <c:valAx>
        <c:axId val="475931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68510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Pacitan!$B$70:$M$70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Pacitan!$B$71:$M$71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52-4CD5-B8B6-1B300EF55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578372"/>
        <c:axId val="1204523518"/>
      </c:lineChart>
      <c:catAx>
        <c:axId val="768578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4523518"/>
        <c:crosses val="autoZero"/>
        <c:auto val="1"/>
        <c:lblAlgn val="ctr"/>
        <c:lblOffset val="100"/>
        <c:noMultiLvlLbl val="1"/>
      </c:catAx>
      <c:valAx>
        <c:axId val="1204523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85783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Caruban!$B$4:$M$4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Caruban!$B$5:$M$5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A-45A9-8BE5-2B851FEFA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0067193"/>
        <c:axId val="148093374"/>
      </c:lineChart>
      <c:catAx>
        <c:axId val="730067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093374"/>
        <c:crosses val="autoZero"/>
        <c:auto val="1"/>
        <c:lblAlgn val="ctr"/>
        <c:lblOffset val="100"/>
        <c:noMultiLvlLbl val="1"/>
      </c:catAx>
      <c:valAx>
        <c:axId val="148093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00671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Caruban!$B$26:$M$26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Caruban!$B$27:$M$27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7-4723-AB8A-9D39D7ABE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504710"/>
        <c:axId val="1526646062"/>
      </c:lineChart>
      <c:catAx>
        <c:axId val="1944504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6646062"/>
        <c:crosses val="autoZero"/>
        <c:auto val="1"/>
        <c:lblAlgn val="ctr"/>
        <c:lblOffset val="100"/>
        <c:noMultiLvlLbl val="1"/>
      </c:catAx>
      <c:valAx>
        <c:axId val="1526646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45047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Caruban!$B$48:$M$48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Caruban!$B$49:$M$49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5-4F82-B7F4-13E523C2F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883978"/>
        <c:axId val="1520175709"/>
      </c:lineChart>
      <c:catAx>
        <c:axId val="1716883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0175709"/>
        <c:crosses val="autoZero"/>
        <c:auto val="1"/>
        <c:lblAlgn val="ctr"/>
        <c:lblOffset val="100"/>
        <c:noMultiLvlLbl val="1"/>
      </c:catAx>
      <c:valAx>
        <c:axId val="1520175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68839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Caruban!$B$70:$M$70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Caruban!$B$71:$M$71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3-49DC-B404-CFBB7A550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21671"/>
        <c:axId val="652375037"/>
      </c:lineChart>
      <c:catAx>
        <c:axId val="92921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2375037"/>
        <c:crosses val="autoZero"/>
        <c:auto val="1"/>
        <c:lblAlgn val="ctr"/>
        <c:lblOffset val="100"/>
        <c:noMultiLvlLbl val="1"/>
      </c:catAx>
      <c:valAx>
        <c:axId val="652375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9216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Terkirim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Ngreco!$B$4:$M$4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Ngreco!$B$5:$M$5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E-46A8-88C5-7791DB9A0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952477"/>
        <c:axId val="385113205"/>
      </c:lineChart>
      <c:catAx>
        <c:axId val="1180952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5113205"/>
        <c:crosses val="autoZero"/>
        <c:auto val="1"/>
        <c:lblAlgn val="ctr"/>
        <c:lblOffset val="100"/>
        <c:noMultiLvlLbl val="1"/>
      </c:catAx>
      <c:valAx>
        <c:axId val="385113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09524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Tagihan Terbayar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Ngreco!$B$26:$M$26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Ngreco!$B$27:$M$27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E-4A5C-B8C7-2564B169C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634598"/>
        <c:axId val="958239977"/>
      </c:lineChart>
      <c:catAx>
        <c:axId val="484634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8239977"/>
        <c:crosses val="autoZero"/>
        <c:auto val="1"/>
        <c:lblAlgn val="ctr"/>
        <c:lblOffset val="100"/>
        <c:noMultiLvlLbl val="1"/>
      </c:catAx>
      <c:valAx>
        <c:axId val="958239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46345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Piutang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Ngreco!$B$48:$M$48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Ngreco!$B$49:$M$49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1-4262-9D2B-A5F41A399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339828"/>
        <c:axId val="575743137"/>
      </c:lineChart>
      <c:catAx>
        <c:axId val="1231339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5743137"/>
        <c:crosses val="autoZero"/>
        <c:auto val="1"/>
        <c:lblAlgn val="ctr"/>
        <c:lblOffset val="100"/>
        <c:noMultiLvlLbl val="1"/>
      </c:catAx>
      <c:valAx>
        <c:axId val="575743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13398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accent1"/>
                </a:solidFill>
                <a:latin typeface="+mn-lt"/>
              </a:defRPr>
            </a:pPr>
            <a:r>
              <a:rPr b="1">
                <a:solidFill>
                  <a:schemeClr val="accent1"/>
                </a:solidFill>
                <a:latin typeface="+mn-lt"/>
              </a:rPr>
              <a:t>Pertumbuhan Uang Diterima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Ngreco!$B$70:$M$70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AGST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Ngreco!$B$71:$M$71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1-451C-A131-57796104B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45663"/>
        <c:axId val="2041087949"/>
      </c:lineChart>
      <c:catAx>
        <c:axId val="144345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1087949"/>
        <c:crosses val="autoZero"/>
        <c:auto val="1"/>
        <c:lblAlgn val="ctr"/>
        <c:lblOffset val="100"/>
        <c:noMultiLvlLbl val="1"/>
      </c:catAx>
      <c:valAx>
        <c:axId val="2041087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3456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10" name="Chart 10" title="Diagram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12" name="Chart 12" title="Diagram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15" name="Chart 15" title="Diagram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16" name="Chart 16" title="Diagram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13" name="Chart 13" title="Diagram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14" name="Chart 14" title="Diagram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17" name="Chart 17" title="Diagram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18" name="Chart 18" title="Diagram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19" name="Chart 19" title="Diagram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20" name="Chart 20" title="Diagram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21" name="Chart 21" title="Diagram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22" name="Chart 22" title="Diagram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23" name="Chart 23" title="Diagram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24" name="Chart 24" title="Diagram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25" name="Chart 25" title="Diagram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27" name="Chart 27" title="Diagram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26" name="Chart 26" title="Diagram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28" name="Chart 28" title="Diagram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30" name="Chart 30" title="Diagram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32" name="Chart 32" title="Diagram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29" name="Chart 29" title="Diagram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31" name="Chart 31" title="Diagram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33" name="Chart 33" title="Diagram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34" name="Chart 34" title="Diagram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35" name="Chart 35" title="Diagram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36" name="Chart 36" title="Diagram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37" name="Chart 37" title="Diagram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38" name="Chart 38" title="Diagram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39" name="Chart 39" title="Diagram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41" name="Chart 41" title="Diagram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43" name="Chart 43" title="Diagram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45" name="Chart 45" title="Diagram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40" name="Chart 40" title="Diagram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42" name="Chart 42" title="Diagram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44" name="Chart 44" title="Diagram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46" name="Chart 46" title="Diagram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161925</xdr:rowOff>
    </xdr:from>
    <xdr:ext cx="4772025" cy="2952750"/>
    <xdr:graphicFrame macro="">
      <xdr:nvGraphicFramePr>
        <xdr:cNvPr id="47" name="Chart 47" title="Diagram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4772025" cy="2952750"/>
    <xdr:graphicFrame macro="">
      <xdr:nvGraphicFramePr>
        <xdr:cNvPr id="48" name="Chart 48" title="Diagram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38100</xdr:rowOff>
    </xdr:from>
    <xdr:ext cx="4772025" cy="2952750"/>
    <xdr:graphicFrame macro="">
      <xdr:nvGraphicFramePr>
        <xdr:cNvPr id="49" name="Chart 49" title="Diagram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74</xdr:row>
      <xdr:rowOff>28575</xdr:rowOff>
    </xdr:from>
    <xdr:ext cx="4772025" cy="2952750"/>
    <xdr:graphicFrame macro="">
      <xdr:nvGraphicFramePr>
        <xdr:cNvPr id="50" name="Chart 50" title="Diagram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60"/>
  <sheetViews>
    <sheetView tabSelected="1" workbookViewId="0">
      <selection activeCell="F50" sqref="F50"/>
    </sheetView>
  </sheetViews>
  <sheetFormatPr defaultColWidth="12.5703125" defaultRowHeight="15.75" customHeight="1" x14ac:dyDescent="0.2"/>
  <cols>
    <col min="3" max="3" width="18.42578125" customWidth="1"/>
    <col min="9" max="9" width="28.85546875" customWidth="1"/>
    <col min="10" max="10" width="23" customWidth="1"/>
  </cols>
  <sheetData>
    <row r="1" spans="1:26" ht="15.75" customHeight="1" x14ac:dyDescent="0.25">
      <c r="A1" s="1"/>
      <c r="B1" s="45" t="s">
        <v>0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/>
      <c r="D3" s="10"/>
      <c r="E3" s="10"/>
      <c r="F3" s="10"/>
      <c r="G3" s="11">
        <f t="shared" ref="G3:G12" si="0">D3+E3+F3</f>
        <v>0</v>
      </c>
      <c r="H3" s="12">
        <f t="shared" ref="H3:H12" si="1">C3-G3</f>
        <v>0</v>
      </c>
      <c r="I3" s="13" t="e">
        <f t="shared" ref="I3:I13" si="2">(G3/C3)*100%</f>
        <v>#DIV/0!</v>
      </c>
      <c r="J3" s="13" t="e">
        <f t="shared" ref="J3:J13" si="3">(H3/C3)*100%</f>
        <v>#DIV/0!</v>
      </c>
    </row>
    <row r="4" spans="1:26" ht="15.75" customHeight="1" x14ac:dyDescent="0.25">
      <c r="A4" s="8">
        <v>2</v>
      </c>
      <c r="B4" s="9" t="s">
        <v>12</v>
      </c>
      <c r="C4" s="10"/>
      <c r="D4" s="10"/>
      <c r="E4" s="10"/>
      <c r="F4" s="10"/>
      <c r="G4" s="11">
        <f t="shared" si="0"/>
        <v>0</v>
      </c>
      <c r="H4" s="12">
        <f t="shared" si="1"/>
        <v>0</v>
      </c>
      <c r="I4" s="13" t="e">
        <f t="shared" si="2"/>
        <v>#DIV/0!</v>
      </c>
      <c r="J4" s="13" t="e">
        <f t="shared" si="3"/>
        <v>#DIV/0!</v>
      </c>
    </row>
    <row r="5" spans="1:26" ht="15.75" customHeight="1" x14ac:dyDescent="0.25">
      <c r="A5" s="8">
        <v>3</v>
      </c>
      <c r="B5" s="9" t="s">
        <v>13</v>
      </c>
      <c r="C5" s="10"/>
      <c r="D5" s="10"/>
      <c r="E5" s="10"/>
      <c r="F5" s="10"/>
      <c r="G5" s="11">
        <f t="shared" si="0"/>
        <v>0</v>
      </c>
      <c r="H5" s="12">
        <f t="shared" si="1"/>
        <v>0</v>
      </c>
      <c r="I5" s="13" t="e">
        <f t="shared" si="2"/>
        <v>#DIV/0!</v>
      </c>
      <c r="J5" s="13" t="e">
        <f t="shared" si="3"/>
        <v>#DIV/0!</v>
      </c>
    </row>
    <row r="6" spans="1:26" ht="15.75" customHeight="1" x14ac:dyDescent="0.25">
      <c r="A6" s="8">
        <v>4</v>
      </c>
      <c r="B6" s="9" t="s">
        <v>14</v>
      </c>
      <c r="C6" s="10"/>
      <c r="D6" s="10"/>
      <c r="E6" s="10"/>
      <c r="F6" s="10"/>
      <c r="G6" s="11">
        <f t="shared" si="0"/>
        <v>0</v>
      </c>
      <c r="H6" s="12">
        <f t="shared" si="1"/>
        <v>0</v>
      </c>
      <c r="I6" s="13" t="e">
        <f t="shared" si="2"/>
        <v>#DIV/0!</v>
      </c>
      <c r="J6" s="13" t="e">
        <f t="shared" si="3"/>
        <v>#DIV/0!</v>
      </c>
    </row>
    <row r="7" spans="1:26" ht="15.75" customHeight="1" x14ac:dyDescent="0.25">
      <c r="A7" s="8">
        <v>5</v>
      </c>
      <c r="B7" s="9" t="s">
        <v>15</v>
      </c>
      <c r="C7" s="10"/>
      <c r="D7" s="10"/>
      <c r="E7" s="10"/>
      <c r="F7" s="10"/>
      <c r="G7" s="11">
        <f t="shared" si="0"/>
        <v>0</v>
      </c>
      <c r="H7" s="12">
        <f t="shared" si="1"/>
        <v>0</v>
      </c>
      <c r="I7" s="13" t="e">
        <f t="shared" si="2"/>
        <v>#DIV/0!</v>
      </c>
      <c r="J7" s="13" t="e">
        <f t="shared" si="3"/>
        <v>#DIV/0!</v>
      </c>
    </row>
    <row r="8" spans="1:26" ht="15.75" customHeight="1" x14ac:dyDescent="0.25">
      <c r="A8" s="8">
        <v>6</v>
      </c>
      <c r="B8" s="9" t="s">
        <v>16</v>
      </c>
      <c r="C8" s="10"/>
      <c r="D8" s="10"/>
      <c r="E8" s="10"/>
      <c r="F8" s="10"/>
      <c r="G8" s="11">
        <f t="shared" si="0"/>
        <v>0</v>
      </c>
      <c r="H8" s="12">
        <f t="shared" si="1"/>
        <v>0</v>
      </c>
      <c r="I8" s="13" t="e">
        <f t="shared" si="2"/>
        <v>#DIV/0!</v>
      </c>
      <c r="J8" s="13" t="e">
        <f t="shared" si="3"/>
        <v>#DIV/0!</v>
      </c>
    </row>
    <row r="9" spans="1:26" ht="15.75" customHeight="1" x14ac:dyDescent="0.25">
      <c r="A9" s="8">
        <v>7</v>
      </c>
      <c r="B9" s="9" t="s">
        <v>17</v>
      </c>
      <c r="C9" s="14"/>
      <c r="D9" s="10"/>
      <c r="E9" s="10"/>
      <c r="F9" s="10"/>
      <c r="G9" s="11">
        <f t="shared" si="0"/>
        <v>0</v>
      </c>
      <c r="H9" s="12">
        <f t="shared" si="1"/>
        <v>0</v>
      </c>
      <c r="I9" s="13" t="e">
        <f t="shared" si="2"/>
        <v>#DIV/0!</v>
      </c>
      <c r="J9" s="13" t="e">
        <f t="shared" si="3"/>
        <v>#DIV/0!</v>
      </c>
    </row>
    <row r="10" spans="1:26" ht="15.75" customHeight="1" x14ac:dyDescent="0.25">
      <c r="A10" s="8">
        <v>8</v>
      </c>
      <c r="B10" s="9" t="s">
        <v>18</v>
      </c>
      <c r="C10" s="15"/>
      <c r="D10" s="15"/>
      <c r="E10" s="10"/>
      <c r="F10" s="15"/>
      <c r="G10" s="11">
        <f t="shared" si="0"/>
        <v>0</v>
      </c>
      <c r="H10" s="12">
        <f t="shared" si="1"/>
        <v>0</v>
      </c>
      <c r="I10" s="13" t="e">
        <f t="shared" si="2"/>
        <v>#DIV/0!</v>
      </c>
      <c r="J10" s="13" t="e">
        <f t="shared" si="3"/>
        <v>#DIV/0!</v>
      </c>
    </row>
    <row r="11" spans="1:26" ht="15.75" customHeight="1" x14ac:dyDescent="0.25">
      <c r="A11" s="8">
        <v>9</v>
      </c>
      <c r="B11" s="9" t="s">
        <v>19</v>
      </c>
      <c r="C11" s="14"/>
      <c r="D11" s="10"/>
      <c r="E11" s="10"/>
      <c r="F11" s="14"/>
      <c r="G11" s="11">
        <f t="shared" si="0"/>
        <v>0</v>
      </c>
      <c r="H11" s="12">
        <f t="shared" si="1"/>
        <v>0</v>
      </c>
      <c r="I11" s="13" t="e">
        <f t="shared" si="2"/>
        <v>#DIV/0!</v>
      </c>
      <c r="J11" s="13" t="e">
        <f t="shared" si="3"/>
        <v>#DIV/0!</v>
      </c>
    </row>
    <row r="12" spans="1:26" ht="15.75" customHeight="1" x14ac:dyDescent="0.25">
      <c r="A12" s="8">
        <v>10</v>
      </c>
      <c r="B12" s="9" t="s">
        <v>20</v>
      </c>
      <c r="C12" s="10"/>
      <c r="D12" s="10"/>
      <c r="E12" s="10"/>
      <c r="F12" s="10"/>
      <c r="G12" s="11">
        <f t="shared" si="0"/>
        <v>0</v>
      </c>
      <c r="H12" s="12">
        <f t="shared" si="1"/>
        <v>0</v>
      </c>
      <c r="I12" s="13" t="e">
        <f t="shared" si="2"/>
        <v>#DIV/0!</v>
      </c>
      <c r="J12" s="13" t="e">
        <f t="shared" si="3"/>
        <v>#DIV/0!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0</v>
      </c>
      <c r="D13" s="17">
        <f t="shared" si="4"/>
        <v>0</v>
      </c>
      <c r="E13" s="17">
        <f t="shared" si="4"/>
        <v>0</v>
      </c>
      <c r="F13" s="17">
        <f t="shared" si="4"/>
        <v>0</v>
      </c>
      <c r="G13" s="17">
        <f t="shared" si="4"/>
        <v>0</v>
      </c>
      <c r="H13" s="17">
        <f t="shared" si="4"/>
        <v>0</v>
      </c>
      <c r="I13" s="18" t="e">
        <f t="shared" si="2"/>
        <v>#DIV/0!</v>
      </c>
      <c r="J13" s="18" t="e">
        <f t="shared" si="3"/>
        <v>#DIV/0!</v>
      </c>
    </row>
    <row r="14" spans="1:26" ht="15.75" customHeight="1" x14ac:dyDescent="0.25">
      <c r="A14" s="1"/>
      <c r="B14" s="19" t="s">
        <v>22</v>
      </c>
      <c r="C14" s="20">
        <f>H13</f>
        <v>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4" t="s">
        <v>29</v>
      </c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/>
      <c r="D19" s="10"/>
      <c r="E19" s="11"/>
      <c r="F19" s="13">
        <f>IFERROR(D19/C19, 0)</f>
        <v>0</v>
      </c>
      <c r="G19" s="13">
        <f>IFERROR(E19/C19, 0)</f>
        <v>0</v>
      </c>
      <c r="H19" s="10">
        <v>1487000</v>
      </c>
      <c r="I19" s="3"/>
      <c r="J19" s="3"/>
    </row>
    <row r="20" spans="1:26" ht="15" x14ac:dyDescent="0.25">
      <c r="A20" s="8">
        <v>2</v>
      </c>
      <c r="B20" s="9" t="s">
        <v>12</v>
      </c>
      <c r="C20" s="10"/>
      <c r="D20" s="10"/>
      <c r="E20" s="11"/>
      <c r="F20" s="13">
        <f>IFERROR(D20/C20, 0)</f>
        <v>0</v>
      </c>
      <c r="G20" s="13">
        <f t="shared" ref="G20:G28" si="5">IFERROR(E20/C20, 0)</f>
        <v>0</v>
      </c>
      <c r="H20" s="10">
        <v>585000</v>
      </c>
      <c r="I20" s="3"/>
      <c r="J20" s="3"/>
    </row>
    <row r="21" spans="1:26" ht="15" x14ac:dyDescent="0.25">
      <c r="A21" s="8">
        <v>3</v>
      </c>
      <c r="B21" s="9" t="s">
        <v>13</v>
      </c>
      <c r="C21" s="10"/>
      <c r="D21" s="10"/>
      <c r="E21" s="11"/>
      <c r="F21" s="13">
        <f t="shared" ref="F21:F28" si="6">IFERROR(D21/C21, 0)</f>
        <v>0</v>
      </c>
      <c r="G21" s="13">
        <f t="shared" si="5"/>
        <v>0</v>
      </c>
      <c r="H21" s="10">
        <v>1062000</v>
      </c>
      <c r="I21" s="3"/>
      <c r="J21" s="3"/>
    </row>
    <row r="22" spans="1:26" ht="15" x14ac:dyDescent="0.25">
      <c r="A22" s="8">
        <v>4</v>
      </c>
      <c r="B22" s="9" t="s">
        <v>14</v>
      </c>
      <c r="C22" s="10"/>
      <c r="D22" s="10"/>
      <c r="E22" s="11"/>
      <c r="F22" s="13">
        <f t="shared" si="6"/>
        <v>0</v>
      </c>
      <c r="G22" s="13">
        <f t="shared" si="5"/>
        <v>0</v>
      </c>
      <c r="H22" s="10">
        <v>1819300</v>
      </c>
      <c r="I22" s="3"/>
      <c r="J22" s="3"/>
    </row>
    <row r="23" spans="1:26" ht="15" x14ac:dyDescent="0.25">
      <c r="A23" s="8">
        <v>5</v>
      </c>
      <c r="B23" s="9" t="s">
        <v>15</v>
      </c>
      <c r="C23" s="10"/>
      <c r="D23" s="10"/>
      <c r="E23" s="11"/>
      <c r="F23" s="13">
        <f t="shared" si="6"/>
        <v>0</v>
      </c>
      <c r="G23" s="13">
        <f t="shared" si="5"/>
        <v>0</v>
      </c>
      <c r="H23" s="10">
        <v>440000</v>
      </c>
      <c r="I23" s="3"/>
      <c r="J23" s="3"/>
    </row>
    <row r="24" spans="1:26" ht="15" x14ac:dyDescent="0.25">
      <c r="A24" s="8">
        <v>6</v>
      </c>
      <c r="B24" s="9" t="s">
        <v>16</v>
      </c>
      <c r="C24" s="10"/>
      <c r="D24" s="10"/>
      <c r="E24" s="11"/>
      <c r="F24" s="13">
        <f t="shared" si="6"/>
        <v>0</v>
      </c>
      <c r="G24" s="13">
        <f t="shared" si="5"/>
        <v>0</v>
      </c>
      <c r="H24" s="10">
        <v>0</v>
      </c>
      <c r="I24" s="3"/>
      <c r="J24" s="3"/>
    </row>
    <row r="25" spans="1:26" ht="15" x14ac:dyDescent="0.25">
      <c r="A25" s="8">
        <v>7</v>
      </c>
      <c r="B25" s="9" t="s">
        <v>17</v>
      </c>
      <c r="C25" s="14"/>
      <c r="D25" s="10"/>
      <c r="E25" s="11"/>
      <c r="F25" s="13">
        <f t="shared" si="6"/>
        <v>0</v>
      </c>
      <c r="G25" s="13">
        <f t="shared" si="5"/>
        <v>0</v>
      </c>
      <c r="H25" s="10">
        <v>680000</v>
      </c>
      <c r="I25" s="3"/>
      <c r="J25" s="3"/>
    </row>
    <row r="26" spans="1:26" ht="15" x14ac:dyDescent="0.25">
      <c r="A26" s="8">
        <v>8</v>
      </c>
      <c r="B26" s="9" t="s">
        <v>18</v>
      </c>
      <c r="C26" s="15"/>
      <c r="D26" s="15"/>
      <c r="E26" s="11"/>
      <c r="F26" s="13">
        <f t="shared" si="6"/>
        <v>0</v>
      </c>
      <c r="G26" s="13">
        <f t="shared" si="5"/>
        <v>0</v>
      </c>
      <c r="H26" s="10">
        <v>1060000</v>
      </c>
      <c r="I26" s="3"/>
      <c r="J26" s="3"/>
    </row>
    <row r="27" spans="1:26" ht="15" x14ac:dyDescent="0.25">
      <c r="A27" s="8">
        <v>9</v>
      </c>
      <c r="B27" s="9" t="s">
        <v>19</v>
      </c>
      <c r="C27" s="14"/>
      <c r="D27" s="10"/>
      <c r="E27" s="11"/>
      <c r="F27" s="13">
        <f t="shared" si="6"/>
        <v>0</v>
      </c>
      <c r="G27" s="13">
        <f t="shared" si="5"/>
        <v>0</v>
      </c>
      <c r="H27" s="10">
        <v>0</v>
      </c>
      <c r="I27" s="3"/>
      <c r="J27" s="3"/>
    </row>
    <row r="28" spans="1:26" ht="15" x14ac:dyDescent="0.25">
      <c r="A28" s="8">
        <v>10</v>
      </c>
      <c r="B28" s="9" t="s">
        <v>20</v>
      </c>
      <c r="C28" s="10"/>
      <c r="D28" s="10"/>
      <c r="E28" s="11"/>
      <c r="F28" s="13">
        <f t="shared" si="6"/>
        <v>0</v>
      </c>
      <c r="G28" s="13">
        <f t="shared" si="5"/>
        <v>0</v>
      </c>
      <c r="H28" s="10">
        <v>0</v>
      </c>
      <c r="I28" s="3"/>
      <c r="J28" s="3"/>
    </row>
    <row r="29" spans="1:26" ht="15" x14ac:dyDescent="0.25">
      <c r="A29" s="9"/>
      <c r="B29" s="16" t="s">
        <v>21</v>
      </c>
      <c r="C29" s="17">
        <f t="shared" ref="C29:E29" si="7">SUM(C19:C28)</f>
        <v>0</v>
      </c>
      <c r="D29" s="17">
        <f t="shared" si="7"/>
        <v>0</v>
      </c>
      <c r="E29" s="17">
        <f t="shared" si="7"/>
        <v>0</v>
      </c>
      <c r="F29" s="23">
        <v>0.25</v>
      </c>
      <c r="G29" s="23">
        <v>0.75</v>
      </c>
      <c r="H29" s="17">
        <f>SUM(H19:H28)</f>
        <v>7133300</v>
      </c>
      <c r="I29" s="3"/>
      <c r="J29" s="3"/>
    </row>
    <row r="30" spans="1:26" ht="15" x14ac:dyDescent="0.25">
      <c r="A30" s="3"/>
      <c r="B30" s="19" t="s">
        <v>30</v>
      </c>
      <c r="C30" s="20">
        <f>E29</f>
        <v>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34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/>
      <c r="D35" s="8"/>
      <c r="E35" s="8"/>
      <c r="F35" s="8">
        <f t="shared" ref="F35:F43" si="8">C35-D35-E35</f>
        <v>0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/>
      <c r="D36" s="8"/>
      <c r="E36" s="8"/>
      <c r="F36" s="8">
        <f t="shared" si="8"/>
        <v>0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/>
      <c r="D37" s="8"/>
      <c r="E37" s="8"/>
      <c r="F37" s="8">
        <f t="shared" si="8"/>
        <v>0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/>
      <c r="D38" s="8"/>
      <c r="E38" s="8"/>
      <c r="F38" s="8">
        <f t="shared" si="8"/>
        <v>0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/>
      <c r="D39" s="8"/>
      <c r="E39" s="8"/>
      <c r="F39" s="8">
        <f t="shared" si="8"/>
        <v>0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/>
      <c r="D40" s="8"/>
      <c r="E40" s="8"/>
      <c r="F40" s="8">
        <f t="shared" si="8"/>
        <v>0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/>
      <c r="D41" s="8"/>
      <c r="E41" s="8"/>
      <c r="F41" s="8">
        <f t="shared" si="8"/>
        <v>0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/>
      <c r="D42" s="8"/>
      <c r="E42" s="8"/>
      <c r="F42" s="8">
        <f t="shared" si="8"/>
        <v>0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/>
      <c r="D43" s="8"/>
      <c r="E43" s="8"/>
      <c r="F43" s="8">
        <f t="shared" si="8"/>
        <v>0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/>
      <c r="D44" s="8"/>
      <c r="E44" s="8"/>
      <c r="F44" s="8">
        <v>150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9">SUM(C35:C44)</f>
        <v>0</v>
      </c>
      <c r="D45" s="25">
        <f t="shared" si="9"/>
        <v>0</v>
      </c>
      <c r="E45" s="25">
        <f t="shared" si="9"/>
        <v>0</v>
      </c>
      <c r="F45" s="25">
        <f t="shared" si="9"/>
        <v>150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40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37</v>
      </c>
      <c r="G49" s="4" t="s">
        <v>38</v>
      </c>
      <c r="H49" s="4" t="s">
        <v>39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8" si="10">F3</f>
        <v>0</v>
      </c>
      <c r="D50" s="10">
        <f t="shared" ref="D50:D58" si="11">D19</f>
        <v>0</v>
      </c>
      <c r="E50" s="10"/>
      <c r="F50" s="10"/>
      <c r="G50" s="10"/>
      <c r="H50" s="10">
        <f t="shared" ref="H50:H59" si="12">SUM(C50:G50)</f>
        <v>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0"/>
        <v>0</v>
      </c>
      <c r="D51" s="10">
        <f t="shared" si="11"/>
        <v>0</v>
      </c>
      <c r="E51" s="10"/>
      <c r="F51" s="10"/>
      <c r="G51" s="10"/>
      <c r="H51" s="10">
        <f t="shared" si="12"/>
        <v>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0"/>
        <v>0</v>
      </c>
      <c r="D52" s="10">
        <f t="shared" si="11"/>
        <v>0</v>
      </c>
      <c r="E52" s="10"/>
      <c r="F52" s="10"/>
      <c r="G52" s="10"/>
      <c r="H52" s="10">
        <f t="shared" si="12"/>
        <v>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0"/>
        <v>0</v>
      </c>
      <c r="D53" s="10">
        <f t="shared" si="11"/>
        <v>0</v>
      </c>
      <c r="E53" s="10"/>
      <c r="F53" s="10"/>
      <c r="G53" s="10"/>
      <c r="H53" s="10">
        <f t="shared" si="12"/>
        <v>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0"/>
        <v>0</v>
      </c>
      <c r="D54" s="10">
        <f t="shared" si="11"/>
        <v>0</v>
      </c>
      <c r="E54" s="10"/>
      <c r="F54" s="10"/>
      <c r="G54" s="10"/>
      <c r="H54" s="10">
        <f t="shared" si="12"/>
        <v>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0"/>
        <v>0</v>
      </c>
      <c r="D55" s="10">
        <f t="shared" si="11"/>
        <v>0</v>
      </c>
      <c r="E55" s="10"/>
      <c r="F55" s="10"/>
      <c r="G55" s="10"/>
      <c r="H55" s="10">
        <f t="shared" si="12"/>
        <v>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0"/>
        <v>0</v>
      </c>
      <c r="D56" s="10">
        <f t="shared" si="11"/>
        <v>0</v>
      </c>
      <c r="E56" s="10"/>
      <c r="F56" s="10"/>
      <c r="G56" s="10"/>
      <c r="H56" s="10">
        <f t="shared" si="12"/>
        <v>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0"/>
        <v>0</v>
      </c>
      <c r="D57" s="10">
        <f t="shared" si="11"/>
        <v>0</v>
      </c>
      <c r="E57" s="10"/>
      <c r="F57" s="10"/>
      <c r="G57" s="10"/>
      <c r="H57" s="10">
        <f t="shared" si="12"/>
        <v>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0"/>
        <v>0</v>
      </c>
      <c r="D58" s="10">
        <f t="shared" si="11"/>
        <v>0</v>
      </c>
      <c r="E58" s="26"/>
      <c r="F58" s="10"/>
      <c r="G58" s="10"/>
      <c r="H58" s="10">
        <f t="shared" si="12"/>
        <v>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v>0</v>
      </c>
      <c r="D59" s="10">
        <v>0</v>
      </c>
      <c r="E59" s="10"/>
      <c r="F59" s="10"/>
      <c r="G59" s="10"/>
      <c r="H59" s="10">
        <f t="shared" si="12"/>
        <v>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3">SUM(C50:C59)</f>
        <v>0</v>
      </c>
      <c r="D60" s="17">
        <f t="shared" si="13"/>
        <v>0</v>
      </c>
      <c r="E60" s="17">
        <f t="shared" si="13"/>
        <v>0</v>
      </c>
      <c r="F60" s="17">
        <f t="shared" si="13"/>
        <v>0</v>
      </c>
      <c r="G60" s="17">
        <f t="shared" si="13"/>
        <v>0</v>
      </c>
      <c r="H60" s="17">
        <f t="shared" si="13"/>
        <v>0</v>
      </c>
      <c r="I60" s="3"/>
      <c r="J60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N73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13" ht="15.75" customHeight="1" x14ac:dyDescent="0.25">
      <c r="A1" s="27" t="s">
        <v>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customHeight="1" x14ac:dyDescent="0.25">
      <c r="A2" s="2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27" t="s">
        <v>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28" t="s">
        <v>43</v>
      </c>
      <c r="B4" s="28" t="s">
        <v>44</v>
      </c>
      <c r="C4" s="28" t="s">
        <v>45</v>
      </c>
      <c r="D4" s="28" t="s">
        <v>46</v>
      </c>
      <c r="E4" s="28" t="s">
        <v>47</v>
      </c>
      <c r="F4" s="28" t="s">
        <v>48</v>
      </c>
      <c r="G4" s="28" t="s">
        <v>49</v>
      </c>
      <c r="H4" s="28" t="s">
        <v>50</v>
      </c>
      <c r="I4" s="28" t="s">
        <v>51</v>
      </c>
      <c r="J4" s="28" t="s">
        <v>52</v>
      </c>
      <c r="K4" s="28" t="s">
        <v>53</v>
      </c>
      <c r="L4" s="28" t="s">
        <v>54</v>
      </c>
      <c r="M4" s="28" t="s">
        <v>55</v>
      </c>
    </row>
    <row r="5" spans="1:13" ht="12.75" x14ac:dyDescent="0.2">
      <c r="A5" s="29" t="s">
        <v>56</v>
      </c>
      <c r="B5" s="30" t="e">
        <f>#REF!</f>
        <v>#REF!</v>
      </c>
      <c r="C5" s="30" t="e">
        <f>#REF!</f>
        <v>#REF!</v>
      </c>
      <c r="D5" s="30" t="e">
        <f>#REF!</f>
        <v>#REF!</v>
      </c>
      <c r="E5" s="30" t="e">
        <f>#REF!</f>
        <v>#REF!</v>
      </c>
      <c r="F5" s="30" t="e">
        <f>#REF!</f>
        <v>#REF!</v>
      </c>
      <c r="G5" s="30" t="e">
        <f>#REF!</f>
        <v>#REF!</v>
      </c>
      <c r="H5" s="30" t="e">
        <f>#REF!</f>
        <v>#REF!</v>
      </c>
      <c r="I5" s="30" t="e">
        <f>#REF!</f>
        <v>#REF!</v>
      </c>
      <c r="J5" s="30" t="e">
        <f>#REF!</f>
        <v>#REF!</v>
      </c>
      <c r="K5" s="30" t="e">
        <f>#REF!</f>
        <v>#REF!</v>
      </c>
      <c r="L5" s="30" t="e">
        <f>#REF!</f>
        <v>#REF!</v>
      </c>
      <c r="M5" s="30" t="e">
        <f>#REF!</f>
        <v>#REF!</v>
      </c>
    </row>
    <row r="6" spans="1:13" ht="12.75" x14ac:dyDescent="0.2">
      <c r="A6" s="29" t="s">
        <v>57</v>
      </c>
      <c r="B6" s="31" t="e">
        <f>#REF!</f>
        <v>#REF!</v>
      </c>
      <c r="C6" s="31" t="e">
        <f>#REF!</f>
        <v>#REF!</v>
      </c>
      <c r="D6" s="31" t="e">
        <f>#REF!</f>
        <v>#REF!</v>
      </c>
      <c r="E6" s="31" t="e">
        <f>#REF!</f>
        <v>#REF!</v>
      </c>
      <c r="F6" s="31" t="e">
        <f>#REF!</f>
        <v>#REF!</v>
      </c>
      <c r="G6" s="31" t="e">
        <f>#REF!</f>
        <v>#REF!</v>
      </c>
      <c r="H6" s="31" t="e">
        <f>#REF!</f>
        <v>#REF!</v>
      </c>
      <c r="I6" s="31" t="e">
        <f>#REF!</f>
        <v>#REF!</v>
      </c>
      <c r="J6" s="31" t="e">
        <f>#REF!</f>
        <v>#REF!</v>
      </c>
      <c r="K6" s="31" t="e">
        <f>#REF!</f>
        <v>#REF!</v>
      </c>
      <c r="L6" s="31" t="e">
        <f>#REF!</f>
        <v>#REF!</v>
      </c>
      <c r="M6" s="31" t="e">
        <f>#REF!</f>
        <v>#REF!</v>
      </c>
    </row>
    <row r="7" spans="1:13" ht="12.75" x14ac:dyDescent="0.2">
      <c r="A7" s="29" t="s">
        <v>21</v>
      </c>
      <c r="B7" s="31" t="e">
        <f>SUM(B6:M6)</f>
        <v>#REF!</v>
      </c>
    </row>
    <row r="25" spans="1:14" ht="15" x14ac:dyDescent="0.25">
      <c r="A25" s="27" t="s">
        <v>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ht="15" x14ac:dyDescent="0.25">
      <c r="A26" s="28" t="s">
        <v>43</v>
      </c>
      <c r="B26" s="28" t="s">
        <v>44</v>
      </c>
      <c r="C26" s="28" t="s">
        <v>45</v>
      </c>
      <c r="D26" s="28" t="s">
        <v>46</v>
      </c>
      <c r="E26" s="28" t="s">
        <v>47</v>
      </c>
      <c r="F26" s="28" t="s">
        <v>48</v>
      </c>
      <c r="G26" s="28" t="s">
        <v>49</v>
      </c>
      <c r="H26" s="28" t="s">
        <v>50</v>
      </c>
      <c r="I26" s="28" t="s">
        <v>51</v>
      </c>
      <c r="J26" s="28" t="s">
        <v>52</v>
      </c>
      <c r="K26" s="28" t="s">
        <v>53</v>
      </c>
      <c r="L26" s="28" t="s">
        <v>54</v>
      </c>
      <c r="M26" s="28" t="s">
        <v>55</v>
      </c>
    </row>
    <row r="27" spans="1:14" ht="12.75" x14ac:dyDescent="0.2">
      <c r="A27" s="29" t="s">
        <v>56</v>
      </c>
      <c r="B27" s="30" t="e">
        <f>#REF!</f>
        <v>#REF!</v>
      </c>
      <c r="C27" s="30" t="e">
        <f>#REF!</f>
        <v>#REF!</v>
      </c>
      <c r="D27" s="30" t="e">
        <f>#REF!</f>
        <v>#REF!</v>
      </c>
      <c r="E27" s="30" t="e">
        <f>#REF!</f>
        <v>#REF!</v>
      </c>
      <c r="F27" s="30" t="e">
        <f>#REF!</f>
        <v>#REF!</v>
      </c>
      <c r="G27" s="30" t="e">
        <f>#REF!</f>
        <v>#REF!</v>
      </c>
      <c r="H27" s="30" t="e">
        <f>#REF!</f>
        <v>#REF!</v>
      </c>
      <c r="I27" s="30" t="e">
        <f>#REF!</f>
        <v>#REF!</v>
      </c>
      <c r="J27" s="30" t="e">
        <f>#REF!</f>
        <v>#REF!</v>
      </c>
      <c r="K27" s="30" t="e">
        <f>#REF!</f>
        <v>#REF!</v>
      </c>
      <c r="L27" s="30" t="e">
        <f>#REF!</f>
        <v>#REF!</v>
      </c>
      <c r="M27" s="30" t="e">
        <f>#REF!</f>
        <v>#REF!</v>
      </c>
    </row>
    <row r="28" spans="1:14" ht="12.75" x14ac:dyDescent="0.2">
      <c r="A28" s="29" t="s">
        <v>57</v>
      </c>
      <c r="B28" s="31" t="e">
        <f>#REF!</f>
        <v>#REF!</v>
      </c>
      <c r="C28" s="31" t="e">
        <f>#REF!</f>
        <v>#REF!</v>
      </c>
      <c r="D28" s="31" t="e">
        <f>#REF!</f>
        <v>#REF!</v>
      </c>
      <c r="E28" s="31" t="e">
        <f>#REF!</f>
        <v>#REF!</v>
      </c>
      <c r="F28" s="31" t="e">
        <f>#REF!</f>
        <v>#REF!</v>
      </c>
      <c r="G28" s="31" t="e">
        <f>#REF!</f>
        <v>#REF!</v>
      </c>
      <c r="H28" s="31" t="e">
        <f>#REF!</f>
        <v>#REF!</v>
      </c>
      <c r="I28" s="31" t="e">
        <f>#REF!</f>
        <v>#REF!</v>
      </c>
      <c r="J28" s="31" t="e">
        <f>#REF!</f>
        <v>#REF!</v>
      </c>
      <c r="K28" s="31" t="e">
        <f>#REF!</f>
        <v>#REF!</v>
      </c>
      <c r="L28" s="31" t="e">
        <f>#REF!</f>
        <v>#REF!</v>
      </c>
      <c r="M28" s="31" t="e">
        <f>#REF!</f>
        <v>#REF!</v>
      </c>
      <c r="N28" s="26"/>
    </row>
    <row r="29" spans="1:14" ht="12.75" x14ac:dyDescent="0.2">
      <c r="A29" s="29" t="s">
        <v>21</v>
      </c>
      <c r="B29" s="32" t="e">
        <f>SUM(B28:M28)</f>
        <v>#REF!</v>
      </c>
      <c r="C29" s="33" t="e">
        <f>(B29/B7)*100%</f>
        <v>#REF!</v>
      </c>
    </row>
    <row r="47" spans="1:13" ht="15" x14ac:dyDescent="0.25">
      <c r="A47" s="27" t="s">
        <v>61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x14ac:dyDescent="0.25">
      <c r="A48" s="28" t="s">
        <v>43</v>
      </c>
      <c r="B48" s="28" t="s">
        <v>44</v>
      </c>
      <c r="C48" s="28" t="s">
        <v>45</v>
      </c>
      <c r="D48" s="28" t="s">
        <v>46</v>
      </c>
      <c r="E48" s="28" t="s">
        <v>47</v>
      </c>
      <c r="F48" s="28" t="s">
        <v>48</v>
      </c>
      <c r="G48" s="28" t="s">
        <v>49</v>
      </c>
      <c r="H48" s="28" t="s">
        <v>50</v>
      </c>
      <c r="I48" s="28" t="s">
        <v>51</v>
      </c>
      <c r="J48" s="28" t="s">
        <v>52</v>
      </c>
      <c r="K48" s="28" t="s">
        <v>53</v>
      </c>
      <c r="L48" s="28" t="s">
        <v>54</v>
      </c>
      <c r="M48" s="28" t="s">
        <v>55</v>
      </c>
    </row>
    <row r="49" spans="1:14" ht="12.75" x14ac:dyDescent="0.2">
      <c r="A49" s="29" t="s">
        <v>56</v>
      </c>
      <c r="B49" s="30" t="e">
        <f>#REF!</f>
        <v>#REF!</v>
      </c>
      <c r="C49" s="30" t="e">
        <f>#REF!</f>
        <v>#REF!</v>
      </c>
      <c r="D49" s="30" t="e">
        <f>#REF!</f>
        <v>#REF!</v>
      </c>
      <c r="E49" s="30" t="e">
        <f>#REF!</f>
        <v>#REF!</v>
      </c>
      <c r="F49" s="30" t="e">
        <f>#REF!</f>
        <v>#REF!</v>
      </c>
      <c r="G49" s="30" t="e">
        <f>#REF!</f>
        <v>#REF!</v>
      </c>
      <c r="H49" s="30" t="e">
        <f>#REF!</f>
        <v>#REF!</v>
      </c>
      <c r="I49" s="30" t="e">
        <f>#REF!</f>
        <v>#REF!</v>
      </c>
      <c r="J49" s="30" t="e">
        <f>#REF!</f>
        <v>#REF!</v>
      </c>
      <c r="K49" s="30" t="e">
        <f>#REF!</f>
        <v>#REF!</v>
      </c>
      <c r="L49" s="30" t="e">
        <f>#REF!</f>
        <v>#REF!</v>
      </c>
      <c r="M49" s="30" t="e">
        <f>#REF!</f>
        <v>#REF!</v>
      </c>
    </row>
    <row r="50" spans="1:14" ht="12.75" x14ac:dyDescent="0.2">
      <c r="A50" s="29" t="s">
        <v>57</v>
      </c>
      <c r="B50" s="31" t="e">
        <f>#REF!</f>
        <v>#REF!</v>
      </c>
      <c r="C50" s="31" t="e">
        <f>#REF!</f>
        <v>#REF!</v>
      </c>
      <c r="D50" s="31" t="e">
        <f>#REF!</f>
        <v>#REF!</v>
      </c>
      <c r="E50" s="31" t="e">
        <f>#REF!</f>
        <v>#REF!</v>
      </c>
      <c r="F50" s="31" t="e">
        <f>#REF!</f>
        <v>#REF!</v>
      </c>
      <c r="G50" s="31" t="e">
        <f>#REF!</f>
        <v>#REF!</v>
      </c>
      <c r="H50" s="31" t="e">
        <f>#REF!</f>
        <v>#REF!</v>
      </c>
      <c r="I50" s="31" t="e">
        <f>#REF!</f>
        <v>#REF!</v>
      </c>
      <c r="J50" s="31" t="e">
        <f>#REF!</f>
        <v>#REF!</v>
      </c>
      <c r="K50" s="31" t="e">
        <f>#REF!</f>
        <v>#REF!</v>
      </c>
      <c r="L50" s="31" t="e">
        <f>#REF!</f>
        <v>#REF!</v>
      </c>
      <c r="M50" s="31" t="e">
        <f>#REF!</f>
        <v>#REF!</v>
      </c>
      <c r="N50" s="26"/>
    </row>
    <row r="51" spans="1:14" ht="12.75" x14ac:dyDescent="0.2">
      <c r="A51" s="29" t="s">
        <v>21</v>
      </c>
      <c r="B51" s="32" t="e">
        <f>SUM(B50:M50)</f>
        <v>#REF!</v>
      </c>
      <c r="C51" s="33" t="e">
        <f>(B51/B7)*100%</f>
        <v>#REF!</v>
      </c>
    </row>
    <row r="69" spans="1:14" ht="15" x14ac:dyDescent="0.25">
      <c r="A69" s="27" t="s">
        <v>62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4" ht="15" x14ac:dyDescent="0.25">
      <c r="A70" s="28" t="s">
        <v>43</v>
      </c>
      <c r="B70" s="28" t="s">
        <v>44</v>
      </c>
      <c r="C70" s="28" t="s">
        <v>45</v>
      </c>
      <c r="D70" s="28" t="s">
        <v>46</v>
      </c>
      <c r="E70" s="28" t="s">
        <v>47</v>
      </c>
      <c r="F70" s="28" t="s">
        <v>48</v>
      </c>
      <c r="G70" s="28" t="s">
        <v>49</v>
      </c>
      <c r="H70" s="28" t="s">
        <v>50</v>
      </c>
      <c r="I70" s="28" t="s">
        <v>51</v>
      </c>
      <c r="J70" s="28" t="s">
        <v>52</v>
      </c>
      <c r="K70" s="28" t="s">
        <v>53</v>
      </c>
      <c r="L70" s="28" t="s">
        <v>54</v>
      </c>
      <c r="M70" s="28" t="s">
        <v>55</v>
      </c>
    </row>
    <row r="71" spans="1:14" ht="12.75" x14ac:dyDescent="0.2">
      <c r="A71" s="29" t="s">
        <v>56</v>
      </c>
      <c r="B71" s="30" t="e">
        <f>#REF!</f>
        <v>#REF!</v>
      </c>
      <c r="C71" s="30" t="e">
        <f>#REF!</f>
        <v>#REF!</v>
      </c>
      <c r="D71" s="30" t="e">
        <f>#REF!</f>
        <v>#REF!</v>
      </c>
      <c r="E71" s="30" t="e">
        <f>#REF!</f>
        <v>#REF!</v>
      </c>
      <c r="F71" s="30" t="e">
        <f>#REF!</f>
        <v>#REF!</v>
      </c>
      <c r="G71" s="30" t="e">
        <f>#REF!</f>
        <v>#REF!</v>
      </c>
      <c r="H71" s="30" t="e">
        <f>#REF!</f>
        <v>#REF!</v>
      </c>
      <c r="I71" s="30" t="e">
        <f>#REF!</f>
        <v>#REF!</v>
      </c>
      <c r="J71" s="30" t="e">
        <f>#REF!</f>
        <v>#REF!</v>
      </c>
      <c r="K71" s="30" t="e">
        <f>#REF!</f>
        <v>#REF!</v>
      </c>
      <c r="L71" s="30" t="e">
        <f>#REF!</f>
        <v>#REF!</v>
      </c>
      <c r="M71" s="30" t="e">
        <f>#REF!</f>
        <v>#REF!</v>
      </c>
    </row>
    <row r="72" spans="1:14" ht="12.75" x14ac:dyDescent="0.2">
      <c r="A72" s="29" t="s">
        <v>57</v>
      </c>
      <c r="B72" s="31" t="e">
        <f>#REF!</f>
        <v>#REF!</v>
      </c>
      <c r="C72" s="29" t="e">
        <f>#REF!</f>
        <v>#REF!</v>
      </c>
      <c r="D72" s="29" t="e">
        <f>#REF!</f>
        <v>#REF!</v>
      </c>
      <c r="E72" s="29" t="e">
        <f>#REF!</f>
        <v>#REF!</v>
      </c>
      <c r="F72" s="29" t="e">
        <f>#REF!</f>
        <v>#REF!</v>
      </c>
      <c r="G72" s="29" t="e">
        <f>#REF!</f>
        <v>#REF!</v>
      </c>
      <c r="H72" s="29" t="e">
        <f>#REF!</f>
        <v>#REF!</v>
      </c>
      <c r="I72" s="29" t="e">
        <f>#REF!</f>
        <v>#REF!</v>
      </c>
      <c r="J72" s="29" t="e">
        <f>#REF!</f>
        <v>#REF!</v>
      </c>
      <c r="K72" s="29" t="e">
        <f>#REF!</f>
        <v>#REF!</v>
      </c>
      <c r="L72" s="29" t="e">
        <f>#REF!</f>
        <v>#REF!</v>
      </c>
      <c r="M72" s="29" t="e">
        <f>#REF!</f>
        <v>#REF!</v>
      </c>
      <c r="N72" s="26"/>
    </row>
    <row r="73" spans="1:14" ht="12.75" x14ac:dyDescent="0.2">
      <c r="A73" s="29" t="s">
        <v>21</v>
      </c>
      <c r="B73" s="31" t="e">
        <f>SUM(B72:M72)</f>
        <v>#REF!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N73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13" ht="15.75" customHeight="1" x14ac:dyDescent="0.25">
      <c r="A1" s="27" t="s">
        <v>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customHeight="1" x14ac:dyDescent="0.25">
      <c r="A2" s="2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27" t="s">
        <v>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28" t="s">
        <v>43</v>
      </c>
      <c r="B4" s="28" t="s">
        <v>44</v>
      </c>
      <c r="C4" s="28" t="s">
        <v>45</v>
      </c>
      <c r="D4" s="28" t="s">
        <v>46</v>
      </c>
      <c r="E4" s="28" t="s">
        <v>47</v>
      </c>
      <c r="F4" s="28" t="s">
        <v>48</v>
      </c>
      <c r="G4" s="28" t="s">
        <v>49</v>
      </c>
      <c r="H4" s="28" t="s">
        <v>50</v>
      </c>
      <c r="I4" s="28" t="s">
        <v>51</v>
      </c>
      <c r="J4" s="28" t="s">
        <v>52</v>
      </c>
      <c r="K4" s="28" t="s">
        <v>53</v>
      </c>
      <c r="L4" s="28" t="s">
        <v>54</v>
      </c>
      <c r="M4" s="28" t="s">
        <v>55</v>
      </c>
    </row>
    <row r="5" spans="1:13" ht="12.75" x14ac:dyDescent="0.2">
      <c r="A5" s="29" t="s">
        <v>56</v>
      </c>
      <c r="B5" s="30" t="e">
        <f>#REF!</f>
        <v>#REF!</v>
      </c>
      <c r="C5" s="30" t="e">
        <f>#REF!</f>
        <v>#REF!</v>
      </c>
      <c r="D5" s="30" t="e">
        <f>#REF!</f>
        <v>#REF!</v>
      </c>
      <c r="E5" s="30" t="e">
        <f>#REF!</f>
        <v>#REF!</v>
      </c>
      <c r="F5" s="30" t="e">
        <f>#REF!</f>
        <v>#REF!</v>
      </c>
      <c r="G5" s="30" t="e">
        <f>#REF!</f>
        <v>#REF!</v>
      </c>
      <c r="H5" s="30" t="e">
        <f>#REF!</f>
        <v>#REF!</v>
      </c>
      <c r="I5" s="30" t="e">
        <f>#REF!</f>
        <v>#REF!</v>
      </c>
      <c r="J5" s="30" t="e">
        <f>#REF!</f>
        <v>#REF!</v>
      </c>
      <c r="K5" s="30" t="e">
        <f>#REF!</f>
        <v>#REF!</v>
      </c>
      <c r="L5" s="30" t="e">
        <f>#REF!</f>
        <v>#REF!</v>
      </c>
      <c r="M5" s="30" t="e">
        <f>#REF!</f>
        <v>#REF!</v>
      </c>
    </row>
    <row r="6" spans="1:13" ht="12.75" x14ac:dyDescent="0.2">
      <c r="A6" s="29" t="s">
        <v>57</v>
      </c>
      <c r="B6" s="31" t="e">
        <f>#REF!</f>
        <v>#REF!</v>
      </c>
      <c r="C6" s="31" t="e">
        <f>#REF!</f>
        <v>#REF!</v>
      </c>
      <c r="D6" s="31" t="e">
        <f>#REF!</f>
        <v>#REF!</v>
      </c>
      <c r="E6" s="31" t="e">
        <f>#REF!</f>
        <v>#REF!</v>
      </c>
      <c r="F6" s="31" t="e">
        <f>#REF!</f>
        <v>#REF!</v>
      </c>
      <c r="G6" s="31" t="e">
        <f>#REF!</f>
        <v>#REF!</v>
      </c>
      <c r="H6" s="31" t="e">
        <f>#REF!</f>
        <v>#REF!</v>
      </c>
      <c r="I6" s="31" t="e">
        <f>#REF!</f>
        <v>#REF!</v>
      </c>
      <c r="J6" s="31" t="e">
        <f>#REF!</f>
        <v>#REF!</v>
      </c>
      <c r="K6" s="31" t="e">
        <f>#REF!</f>
        <v>#REF!</v>
      </c>
      <c r="L6" s="31" t="e">
        <f>#REF!</f>
        <v>#REF!</v>
      </c>
      <c r="M6" s="31" t="e">
        <f>#REF!</f>
        <v>#REF!</v>
      </c>
    </row>
    <row r="7" spans="1:13" ht="12.75" x14ac:dyDescent="0.2">
      <c r="A7" s="29" t="s">
        <v>21</v>
      </c>
      <c r="B7" s="31" t="e">
        <f>SUM(B6:M6)</f>
        <v>#REF!</v>
      </c>
    </row>
    <row r="25" spans="1:14" ht="15" x14ac:dyDescent="0.25">
      <c r="A25" s="27" t="s">
        <v>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ht="15" x14ac:dyDescent="0.25">
      <c r="A26" s="28" t="s">
        <v>43</v>
      </c>
      <c r="B26" s="28" t="s">
        <v>44</v>
      </c>
      <c r="C26" s="28" t="s">
        <v>45</v>
      </c>
      <c r="D26" s="28" t="s">
        <v>46</v>
      </c>
      <c r="E26" s="28" t="s">
        <v>47</v>
      </c>
      <c r="F26" s="28" t="s">
        <v>48</v>
      </c>
      <c r="G26" s="28" t="s">
        <v>49</v>
      </c>
      <c r="H26" s="28" t="s">
        <v>50</v>
      </c>
      <c r="I26" s="28" t="s">
        <v>51</v>
      </c>
      <c r="J26" s="28" t="s">
        <v>52</v>
      </c>
      <c r="K26" s="28" t="s">
        <v>53</v>
      </c>
      <c r="L26" s="28" t="s">
        <v>54</v>
      </c>
      <c r="M26" s="28" t="s">
        <v>55</v>
      </c>
    </row>
    <row r="27" spans="1:14" ht="12.75" x14ac:dyDescent="0.2">
      <c r="A27" s="29" t="s">
        <v>56</v>
      </c>
      <c r="B27" s="30" t="e">
        <f>#REF!</f>
        <v>#REF!</v>
      </c>
      <c r="C27" s="30" t="e">
        <f>#REF!</f>
        <v>#REF!</v>
      </c>
      <c r="D27" s="30" t="e">
        <f>#REF!</f>
        <v>#REF!</v>
      </c>
      <c r="E27" s="30" t="e">
        <f>#REF!</f>
        <v>#REF!</v>
      </c>
      <c r="F27" s="30" t="e">
        <f>#REF!</f>
        <v>#REF!</v>
      </c>
      <c r="G27" s="30" t="e">
        <f>#REF!</f>
        <v>#REF!</v>
      </c>
      <c r="H27" s="30" t="e">
        <f>#REF!</f>
        <v>#REF!</v>
      </c>
      <c r="I27" s="30" t="e">
        <f>#REF!</f>
        <v>#REF!</v>
      </c>
      <c r="J27" s="30" t="e">
        <f>#REF!</f>
        <v>#REF!</v>
      </c>
      <c r="K27" s="30" t="e">
        <f>#REF!</f>
        <v>#REF!</v>
      </c>
      <c r="L27" s="30" t="e">
        <f>#REF!</f>
        <v>#REF!</v>
      </c>
      <c r="M27" s="30" t="e">
        <f>#REF!</f>
        <v>#REF!</v>
      </c>
    </row>
    <row r="28" spans="1:14" ht="12.75" x14ac:dyDescent="0.2">
      <c r="A28" s="29" t="s">
        <v>57</v>
      </c>
      <c r="B28" s="31" t="e">
        <f>#REF!</f>
        <v>#REF!</v>
      </c>
      <c r="C28" s="31" t="e">
        <f>#REF!</f>
        <v>#REF!</v>
      </c>
      <c r="D28" s="31" t="e">
        <f>#REF!</f>
        <v>#REF!</v>
      </c>
      <c r="E28" s="31" t="e">
        <f>#REF!</f>
        <v>#REF!</v>
      </c>
      <c r="F28" s="31" t="e">
        <f>#REF!</f>
        <v>#REF!</v>
      </c>
      <c r="G28" s="31" t="e">
        <f>#REF!</f>
        <v>#REF!</v>
      </c>
      <c r="H28" s="31" t="e">
        <f>#REF!</f>
        <v>#REF!</v>
      </c>
      <c r="I28" s="31" t="e">
        <f>#REF!</f>
        <v>#REF!</v>
      </c>
      <c r="J28" s="31" t="e">
        <f>#REF!</f>
        <v>#REF!</v>
      </c>
      <c r="K28" s="31" t="e">
        <f>#REF!</f>
        <v>#REF!</v>
      </c>
      <c r="L28" s="31" t="e">
        <f>#REF!</f>
        <v>#REF!</v>
      </c>
      <c r="M28" s="31" t="e">
        <f>#REF!</f>
        <v>#REF!</v>
      </c>
      <c r="N28" s="26"/>
    </row>
    <row r="29" spans="1:14" ht="12.75" x14ac:dyDescent="0.2">
      <c r="A29" s="29" t="s">
        <v>21</v>
      </c>
      <c r="B29" s="32" t="e">
        <f>SUM(B28:M28)</f>
        <v>#REF!</v>
      </c>
      <c r="C29" s="33" t="e">
        <f>(B29/B7)*100%</f>
        <v>#REF!</v>
      </c>
    </row>
    <row r="47" spans="1:13" ht="15" x14ac:dyDescent="0.25">
      <c r="A47" s="27" t="s">
        <v>61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x14ac:dyDescent="0.25">
      <c r="A48" s="28" t="s">
        <v>43</v>
      </c>
      <c r="B48" s="28" t="s">
        <v>44</v>
      </c>
      <c r="C48" s="28" t="s">
        <v>45</v>
      </c>
      <c r="D48" s="28" t="s">
        <v>46</v>
      </c>
      <c r="E48" s="28" t="s">
        <v>47</v>
      </c>
      <c r="F48" s="28" t="s">
        <v>48</v>
      </c>
      <c r="G48" s="28" t="s">
        <v>49</v>
      </c>
      <c r="H48" s="28" t="s">
        <v>50</v>
      </c>
      <c r="I48" s="28" t="s">
        <v>51</v>
      </c>
      <c r="J48" s="28" t="s">
        <v>52</v>
      </c>
      <c r="K48" s="28" t="s">
        <v>53</v>
      </c>
      <c r="L48" s="28" t="s">
        <v>54</v>
      </c>
      <c r="M48" s="28" t="s">
        <v>55</v>
      </c>
    </row>
    <row r="49" spans="1:14" ht="12.75" x14ac:dyDescent="0.2">
      <c r="A49" s="29" t="s">
        <v>56</v>
      </c>
      <c r="B49" s="30" t="e">
        <f>#REF!</f>
        <v>#REF!</v>
      </c>
      <c r="C49" s="30" t="e">
        <f>#REF!</f>
        <v>#REF!</v>
      </c>
      <c r="D49" s="30" t="e">
        <f>#REF!</f>
        <v>#REF!</v>
      </c>
      <c r="E49" s="30" t="e">
        <f>#REF!</f>
        <v>#REF!</v>
      </c>
      <c r="F49" s="30" t="e">
        <f>#REF!</f>
        <v>#REF!</v>
      </c>
      <c r="G49" s="30" t="e">
        <f>#REF!</f>
        <v>#REF!</v>
      </c>
      <c r="H49" s="30" t="e">
        <f>#REF!</f>
        <v>#REF!</v>
      </c>
      <c r="I49" s="30" t="e">
        <f>#REF!</f>
        <v>#REF!</v>
      </c>
      <c r="J49" s="30" t="e">
        <f>#REF!</f>
        <v>#REF!</v>
      </c>
      <c r="K49" s="30" t="e">
        <f>#REF!</f>
        <v>#REF!</v>
      </c>
      <c r="L49" s="30" t="e">
        <f>#REF!</f>
        <v>#REF!</v>
      </c>
      <c r="M49" s="30" t="e">
        <f>#REF!</f>
        <v>#REF!</v>
      </c>
    </row>
    <row r="50" spans="1:14" ht="12.75" x14ac:dyDescent="0.2">
      <c r="A50" s="29" t="s">
        <v>57</v>
      </c>
      <c r="B50" s="31" t="e">
        <f>#REF!</f>
        <v>#REF!</v>
      </c>
      <c r="C50" s="31" t="e">
        <f>#REF!</f>
        <v>#REF!</v>
      </c>
      <c r="D50" s="31" t="e">
        <f>#REF!</f>
        <v>#REF!</v>
      </c>
      <c r="E50" s="31" t="e">
        <f>#REF!</f>
        <v>#REF!</v>
      </c>
      <c r="F50" s="31" t="e">
        <f>#REF!</f>
        <v>#REF!</v>
      </c>
      <c r="G50" s="31" t="e">
        <f>#REF!</f>
        <v>#REF!</v>
      </c>
      <c r="H50" s="31" t="e">
        <f>#REF!</f>
        <v>#REF!</v>
      </c>
      <c r="I50" s="31" t="e">
        <f>#REF!</f>
        <v>#REF!</v>
      </c>
      <c r="J50" s="31" t="e">
        <f>#REF!</f>
        <v>#REF!</v>
      </c>
      <c r="K50" s="31" t="e">
        <f>#REF!</f>
        <v>#REF!</v>
      </c>
      <c r="L50" s="31" t="e">
        <f>#REF!</f>
        <v>#REF!</v>
      </c>
      <c r="M50" s="31" t="e">
        <f>#REF!</f>
        <v>#REF!</v>
      </c>
      <c r="N50" s="26"/>
    </row>
    <row r="51" spans="1:14" ht="12.75" x14ac:dyDescent="0.2">
      <c r="A51" s="29" t="s">
        <v>21</v>
      </c>
      <c r="B51" s="32" t="e">
        <f>SUM(B50:M50)</f>
        <v>#REF!</v>
      </c>
      <c r="C51" s="33" t="e">
        <f>(B51/B7)*100%</f>
        <v>#REF!</v>
      </c>
    </row>
    <row r="69" spans="1:14" ht="15" x14ac:dyDescent="0.25">
      <c r="A69" s="27" t="s">
        <v>62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4" ht="15" x14ac:dyDescent="0.25">
      <c r="A70" s="28" t="s">
        <v>43</v>
      </c>
      <c r="B70" s="28" t="s">
        <v>44</v>
      </c>
      <c r="C70" s="28" t="s">
        <v>45</v>
      </c>
      <c r="D70" s="28" t="s">
        <v>46</v>
      </c>
      <c r="E70" s="28" t="s">
        <v>47</v>
      </c>
      <c r="F70" s="28" t="s">
        <v>48</v>
      </c>
      <c r="G70" s="28" t="s">
        <v>49</v>
      </c>
      <c r="H70" s="28" t="s">
        <v>50</v>
      </c>
      <c r="I70" s="28" t="s">
        <v>51</v>
      </c>
      <c r="J70" s="28" t="s">
        <v>52</v>
      </c>
      <c r="K70" s="28" t="s">
        <v>53</v>
      </c>
      <c r="L70" s="28" t="s">
        <v>54</v>
      </c>
      <c r="M70" s="28" t="s">
        <v>55</v>
      </c>
    </row>
    <row r="71" spans="1:14" ht="12.75" x14ac:dyDescent="0.2">
      <c r="A71" s="29" t="s">
        <v>56</v>
      </c>
      <c r="B71" s="30" t="e">
        <f>#REF!</f>
        <v>#REF!</v>
      </c>
      <c r="C71" s="30" t="e">
        <f>#REF!</f>
        <v>#REF!</v>
      </c>
      <c r="D71" s="30" t="e">
        <f>#REF!</f>
        <v>#REF!</v>
      </c>
      <c r="E71" s="30" t="e">
        <f>#REF!</f>
        <v>#REF!</v>
      </c>
      <c r="F71" s="30" t="e">
        <f>#REF!</f>
        <v>#REF!</v>
      </c>
      <c r="G71" s="30" t="e">
        <f>#REF!</f>
        <v>#REF!</v>
      </c>
      <c r="H71" s="30" t="e">
        <f>#REF!</f>
        <v>#REF!</v>
      </c>
      <c r="I71" s="30" t="e">
        <f>#REF!</f>
        <v>#REF!</v>
      </c>
      <c r="J71" s="30" t="e">
        <f>#REF!</f>
        <v>#REF!</v>
      </c>
      <c r="K71" s="30" t="e">
        <f>#REF!</f>
        <v>#REF!</v>
      </c>
      <c r="L71" s="30" t="e">
        <f>#REF!</f>
        <v>#REF!</v>
      </c>
      <c r="M71" s="30" t="e">
        <f>#REF!</f>
        <v>#REF!</v>
      </c>
    </row>
    <row r="72" spans="1:14" ht="12.75" x14ac:dyDescent="0.2">
      <c r="A72" s="29" t="s">
        <v>57</v>
      </c>
      <c r="B72" s="31" t="e">
        <f>#REF!</f>
        <v>#REF!</v>
      </c>
      <c r="C72" s="29" t="e">
        <f>#REF!</f>
        <v>#REF!</v>
      </c>
      <c r="D72" s="29" t="e">
        <f>#REF!</f>
        <v>#REF!</v>
      </c>
      <c r="E72" s="29" t="e">
        <f>#REF!</f>
        <v>#REF!</v>
      </c>
      <c r="F72" s="29" t="e">
        <f>#REF!</f>
        <v>#REF!</v>
      </c>
      <c r="G72" s="29" t="e">
        <f>#REF!</f>
        <v>#REF!</v>
      </c>
      <c r="H72" s="29" t="e">
        <f>#REF!</f>
        <v>#REF!</v>
      </c>
      <c r="I72" s="29" t="e">
        <f>#REF!</f>
        <v>#REF!</v>
      </c>
      <c r="J72" s="29" t="e">
        <f>#REF!</f>
        <v>#REF!</v>
      </c>
      <c r="K72" s="29" t="e">
        <f>#REF!</f>
        <v>#REF!</v>
      </c>
      <c r="L72" s="29" t="e">
        <f>#REF!</f>
        <v>#REF!</v>
      </c>
      <c r="M72" s="29" t="e">
        <f>#REF!</f>
        <v>#REF!</v>
      </c>
      <c r="N72" s="26"/>
    </row>
    <row r="73" spans="1:14" ht="12.75" x14ac:dyDescent="0.2">
      <c r="A73" s="29" t="s">
        <v>21</v>
      </c>
      <c r="B73" s="31" t="e">
        <f>SUM(B72:M72)</f>
        <v>#REF!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N73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13" ht="15.75" customHeight="1" x14ac:dyDescent="0.25">
      <c r="A1" s="27" t="s">
        <v>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customHeight="1" x14ac:dyDescent="0.25">
      <c r="A2" s="2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27" t="s">
        <v>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28" t="s">
        <v>43</v>
      </c>
      <c r="B4" s="28" t="s">
        <v>44</v>
      </c>
      <c r="C4" s="28" t="s">
        <v>45</v>
      </c>
      <c r="D4" s="28" t="s">
        <v>46</v>
      </c>
      <c r="E4" s="28" t="s">
        <v>47</v>
      </c>
      <c r="F4" s="28" t="s">
        <v>48</v>
      </c>
      <c r="G4" s="28" t="s">
        <v>49</v>
      </c>
      <c r="H4" s="28" t="s">
        <v>50</v>
      </c>
      <c r="I4" s="28" t="s">
        <v>51</v>
      </c>
      <c r="J4" s="28" t="s">
        <v>52</v>
      </c>
      <c r="K4" s="28" t="s">
        <v>53</v>
      </c>
      <c r="L4" s="28" t="s">
        <v>54</v>
      </c>
      <c r="M4" s="28" t="s">
        <v>55</v>
      </c>
    </row>
    <row r="5" spans="1:13" ht="12.75" x14ac:dyDescent="0.2">
      <c r="A5" s="29" t="s">
        <v>56</v>
      </c>
      <c r="B5" s="30" t="e">
        <f>#REF!</f>
        <v>#REF!</v>
      </c>
      <c r="C5" s="30" t="e">
        <f>#REF!</f>
        <v>#REF!</v>
      </c>
      <c r="D5" s="30" t="e">
        <f>#REF!</f>
        <v>#REF!</v>
      </c>
      <c r="E5" s="30" t="e">
        <f>#REF!</f>
        <v>#REF!</v>
      </c>
      <c r="F5" s="30" t="e">
        <f>#REF!</f>
        <v>#REF!</v>
      </c>
      <c r="G5" s="30" t="e">
        <f>#REF!</f>
        <v>#REF!</v>
      </c>
      <c r="H5" s="30" t="e">
        <f>#REF!</f>
        <v>#REF!</v>
      </c>
      <c r="I5" s="30" t="e">
        <f>#REF!</f>
        <v>#REF!</v>
      </c>
      <c r="J5" s="30" t="e">
        <f>#REF!</f>
        <v>#REF!</v>
      </c>
      <c r="K5" s="30" t="e">
        <f>#REF!</f>
        <v>#REF!</v>
      </c>
      <c r="L5" s="30" t="e">
        <f>#REF!</f>
        <v>#REF!</v>
      </c>
      <c r="M5" s="30" t="e">
        <f>#REF!</f>
        <v>#REF!</v>
      </c>
    </row>
    <row r="6" spans="1:13" ht="12.75" x14ac:dyDescent="0.2">
      <c r="A6" s="29" t="s">
        <v>57</v>
      </c>
      <c r="B6" s="31" t="e">
        <f>#REF!</f>
        <v>#REF!</v>
      </c>
      <c r="C6" s="31" t="e">
        <f>#REF!</f>
        <v>#REF!</v>
      </c>
      <c r="D6" s="31" t="e">
        <f>#REF!</f>
        <v>#REF!</v>
      </c>
      <c r="E6" s="31" t="e">
        <f>#REF!</f>
        <v>#REF!</v>
      </c>
      <c r="F6" s="31" t="e">
        <f>#REF!</f>
        <v>#REF!</v>
      </c>
      <c r="G6" s="31" t="e">
        <f>#REF!</f>
        <v>#REF!</v>
      </c>
      <c r="H6" s="31" t="e">
        <f>#REF!</f>
        <v>#REF!</v>
      </c>
      <c r="I6" s="31" t="e">
        <f>#REF!</f>
        <v>#REF!</v>
      </c>
      <c r="J6" s="31" t="e">
        <f>#REF!</f>
        <v>#REF!</v>
      </c>
      <c r="K6" s="31" t="e">
        <f>#REF!</f>
        <v>#REF!</v>
      </c>
      <c r="L6" s="31" t="e">
        <f>#REF!</f>
        <v>#REF!</v>
      </c>
      <c r="M6" s="31" t="e">
        <f>#REF!</f>
        <v>#REF!</v>
      </c>
    </row>
    <row r="7" spans="1:13" ht="12.75" x14ac:dyDescent="0.2">
      <c r="A7" s="29" t="s">
        <v>21</v>
      </c>
      <c r="B7" s="31" t="e">
        <f>SUM(B6:M6)</f>
        <v>#REF!</v>
      </c>
    </row>
    <row r="25" spans="1:14" ht="15" x14ac:dyDescent="0.25">
      <c r="A25" s="27" t="s">
        <v>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ht="15" x14ac:dyDescent="0.25">
      <c r="A26" s="28" t="s">
        <v>43</v>
      </c>
      <c r="B26" s="28" t="s">
        <v>44</v>
      </c>
      <c r="C26" s="28" t="s">
        <v>45</v>
      </c>
      <c r="D26" s="28" t="s">
        <v>46</v>
      </c>
      <c r="E26" s="28" t="s">
        <v>47</v>
      </c>
      <c r="F26" s="28" t="s">
        <v>48</v>
      </c>
      <c r="G26" s="28" t="s">
        <v>49</v>
      </c>
      <c r="H26" s="28" t="s">
        <v>50</v>
      </c>
      <c r="I26" s="28" t="s">
        <v>51</v>
      </c>
      <c r="J26" s="28" t="s">
        <v>52</v>
      </c>
      <c r="K26" s="28" t="s">
        <v>53</v>
      </c>
      <c r="L26" s="28" t="s">
        <v>54</v>
      </c>
      <c r="M26" s="28" t="s">
        <v>55</v>
      </c>
    </row>
    <row r="27" spans="1:14" ht="12.75" x14ac:dyDescent="0.2">
      <c r="A27" s="29" t="s">
        <v>56</v>
      </c>
      <c r="B27" s="30" t="e">
        <f>#REF!</f>
        <v>#REF!</v>
      </c>
      <c r="C27" s="30" t="e">
        <f>#REF!</f>
        <v>#REF!</v>
      </c>
      <c r="D27" s="30" t="e">
        <f>#REF!</f>
        <v>#REF!</v>
      </c>
      <c r="E27" s="30" t="e">
        <f>#REF!</f>
        <v>#REF!</v>
      </c>
      <c r="F27" s="30" t="e">
        <f>#REF!</f>
        <v>#REF!</v>
      </c>
      <c r="G27" s="30" t="e">
        <f>#REF!</f>
        <v>#REF!</v>
      </c>
      <c r="H27" s="30" t="e">
        <f>#REF!</f>
        <v>#REF!</v>
      </c>
      <c r="I27" s="30" t="e">
        <f>#REF!</f>
        <v>#REF!</v>
      </c>
      <c r="J27" s="30" t="e">
        <f>#REF!</f>
        <v>#REF!</v>
      </c>
      <c r="K27" s="30" t="e">
        <f>#REF!</f>
        <v>#REF!</v>
      </c>
      <c r="L27" s="30" t="e">
        <f>#REF!</f>
        <v>#REF!</v>
      </c>
      <c r="M27" s="30" t="e">
        <f>#REF!</f>
        <v>#REF!</v>
      </c>
    </row>
    <row r="28" spans="1:14" ht="12.75" x14ac:dyDescent="0.2">
      <c r="A28" s="29" t="s">
        <v>57</v>
      </c>
      <c r="B28" s="31" t="e">
        <f>#REF!</f>
        <v>#REF!</v>
      </c>
      <c r="C28" s="31" t="e">
        <f>#REF!</f>
        <v>#REF!</v>
      </c>
      <c r="D28" s="31" t="e">
        <f>#REF!</f>
        <v>#REF!</v>
      </c>
      <c r="E28" s="31" t="e">
        <f>#REF!</f>
        <v>#REF!</v>
      </c>
      <c r="F28" s="31" t="e">
        <f>#REF!</f>
        <v>#REF!</v>
      </c>
      <c r="G28" s="31" t="e">
        <f>#REF!</f>
        <v>#REF!</v>
      </c>
      <c r="H28" s="31" t="e">
        <f>#REF!</f>
        <v>#REF!</v>
      </c>
      <c r="I28" s="31" t="e">
        <f>#REF!</f>
        <v>#REF!</v>
      </c>
      <c r="J28" s="31" t="e">
        <f>#REF!</f>
        <v>#REF!</v>
      </c>
      <c r="K28" s="31" t="e">
        <f>#REF!</f>
        <v>#REF!</v>
      </c>
      <c r="L28" s="31" t="e">
        <f>#REF!</f>
        <v>#REF!</v>
      </c>
      <c r="M28" s="31" t="e">
        <f>#REF!</f>
        <v>#REF!</v>
      </c>
      <c r="N28" s="26"/>
    </row>
    <row r="29" spans="1:14" ht="12.75" x14ac:dyDescent="0.2">
      <c r="A29" s="29" t="s">
        <v>21</v>
      </c>
      <c r="B29" s="32" t="e">
        <f>SUM(B28:M28)</f>
        <v>#REF!</v>
      </c>
      <c r="C29" s="33" t="e">
        <f>(B29/B7)*100%</f>
        <v>#REF!</v>
      </c>
    </row>
    <row r="47" spans="1:13" ht="15" x14ac:dyDescent="0.25">
      <c r="A47" s="27" t="s">
        <v>61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x14ac:dyDescent="0.25">
      <c r="A48" s="28" t="s">
        <v>43</v>
      </c>
      <c r="B48" s="28" t="s">
        <v>44</v>
      </c>
      <c r="C48" s="28" t="s">
        <v>45</v>
      </c>
      <c r="D48" s="28" t="s">
        <v>46</v>
      </c>
      <c r="E48" s="28" t="s">
        <v>47</v>
      </c>
      <c r="F48" s="28" t="s">
        <v>48</v>
      </c>
      <c r="G48" s="28" t="s">
        <v>49</v>
      </c>
      <c r="H48" s="28" t="s">
        <v>50</v>
      </c>
      <c r="I48" s="28" t="s">
        <v>51</v>
      </c>
      <c r="J48" s="28" t="s">
        <v>52</v>
      </c>
      <c r="K48" s="28" t="s">
        <v>53</v>
      </c>
      <c r="L48" s="28" t="s">
        <v>54</v>
      </c>
      <c r="M48" s="28" t="s">
        <v>55</v>
      </c>
    </row>
    <row r="49" spans="1:14" ht="12.75" x14ac:dyDescent="0.2">
      <c r="A49" s="29" t="s">
        <v>56</v>
      </c>
      <c r="B49" s="30" t="e">
        <f>#REF!</f>
        <v>#REF!</v>
      </c>
      <c r="C49" s="30" t="e">
        <f>#REF!</f>
        <v>#REF!</v>
      </c>
      <c r="D49" s="30" t="e">
        <f>#REF!</f>
        <v>#REF!</v>
      </c>
      <c r="E49" s="30" t="e">
        <f>#REF!</f>
        <v>#REF!</v>
      </c>
      <c r="F49" s="30" t="e">
        <f>#REF!</f>
        <v>#REF!</v>
      </c>
      <c r="G49" s="30" t="e">
        <f>#REF!</f>
        <v>#REF!</v>
      </c>
      <c r="H49" s="30" t="e">
        <f>#REF!</f>
        <v>#REF!</v>
      </c>
      <c r="I49" s="30" t="e">
        <f>#REF!</f>
        <v>#REF!</v>
      </c>
      <c r="J49" s="30" t="e">
        <f>#REF!</f>
        <v>#REF!</v>
      </c>
      <c r="K49" s="30" t="e">
        <f>#REF!</f>
        <v>#REF!</v>
      </c>
      <c r="L49" s="30" t="e">
        <f>#REF!</f>
        <v>#REF!</v>
      </c>
      <c r="M49" s="30" t="e">
        <f>#REF!</f>
        <v>#REF!</v>
      </c>
    </row>
    <row r="50" spans="1:14" ht="12.75" x14ac:dyDescent="0.2">
      <c r="A50" s="29" t="s">
        <v>57</v>
      </c>
      <c r="B50" s="31" t="e">
        <f>#REF!</f>
        <v>#REF!</v>
      </c>
      <c r="C50" s="31" t="e">
        <f>#REF!</f>
        <v>#REF!</v>
      </c>
      <c r="D50" s="31" t="e">
        <f>#REF!</f>
        <v>#REF!</v>
      </c>
      <c r="E50" s="31" t="e">
        <f>#REF!</f>
        <v>#REF!</v>
      </c>
      <c r="F50" s="31" t="e">
        <f>#REF!</f>
        <v>#REF!</v>
      </c>
      <c r="G50" s="31" t="e">
        <f>#REF!</f>
        <v>#REF!</v>
      </c>
      <c r="H50" s="31" t="e">
        <f>#REF!</f>
        <v>#REF!</v>
      </c>
      <c r="I50" s="31" t="e">
        <f>#REF!</f>
        <v>#REF!</v>
      </c>
      <c r="J50" s="31" t="e">
        <f>#REF!</f>
        <v>#REF!</v>
      </c>
      <c r="K50" s="31" t="e">
        <f>#REF!</f>
        <v>#REF!</v>
      </c>
      <c r="L50" s="31" t="e">
        <f>#REF!</f>
        <v>#REF!</v>
      </c>
      <c r="M50" s="31" t="e">
        <f>#REF!</f>
        <v>#REF!</v>
      </c>
      <c r="N50" s="26"/>
    </row>
    <row r="51" spans="1:14" ht="12.75" x14ac:dyDescent="0.2">
      <c r="A51" s="29" t="s">
        <v>21</v>
      </c>
      <c r="B51" s="32" t="e">
        <f>SUM(B50:M50)</f>
        <v>#REF!</v>
      </c>
      <c r="C51" s="33" t="e">
        <f>(B51/B7)*100%</f>
        <v>#REF!</v>
      </c>
    </row>
    <row r="69" spans="1:14" ht="15" x14ac:dyDescent="0.25">
      <c r="A69" s="27" t="s">
        <v>62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4" ht="15" x14ac:dyDescent="0.25">
      <c r="A70" s="28" t="s">
        <v>43</v>
      </c>
      <c r="B70" s="28" t="s">
        <v>44</v>
      </c>
      <c r="C70" s="28" t="s">
        <v>45</v>
      </c>
      <c r="D70" s="28" t="s">
        <v>46</v>
      </c>
      <c r="E70" s="28" t="s">
        <v>47</v>
      </c>
      <c r="F70" s="28" t="s">
        <v>48</v>
      </c>
      <c r="G70" s="28" t="s">
        <v>49</v>
      </c>
      <c r="H70" s="28" t="s">
        <v>50</v>
      </c>
      <c r="I70" s="28" t="s">
        <v>51</v>
      </c>
      <c r="J70" s="28" t="s">
        <v>52</v>
      </c>
      <c r="K70" s="28" t="s">
        <v>53</v>
      </c>
      <c r="L70" s="28" t="s">
        <v>54</v>
      </c>
      <c r="M70" s="28" t="s">
        <v>55</v>
      </c>
    </row>
    <row r="71" spans="1:14" ht="12.75" x14ac:dyDescent="0.2">
      <c r="A71" s="29" t="s">
        <v>56</v>
      </c>
      <c r="B71" s="30" t="e">
        <f>#REF!</f>
        <v>#REF!</v>
      </c>
      <c r="C71" s="30" t="e">
        <f>#REF!</f>
        <v>#REF!</v>
      </c>
      <c r="D71" s="30" t="e">
        <f>#REF!</f>
        <v>#REF!</v>
      </c>
      <c r="E71" s="30" t="e">
        <f>#REF!</f>
        <v>#REF!</v>
      </c>
      <c r="F71" s="30" t="e">
        <f>#REF!</f>
        <v>#REF!</v>
      </c>
      <c r="G71" s="30" t="e">
        <f>#REF!</f>
        <v>#REF!</v>
      </c>
      <c r="H71" s="30" t="e">
        <f>#REF!</f>
        <v>#REF!</v>
      </c>
      <c r="I71" s="30" t="e">
        <f>#REF!</f>
        <v>#REF!</v>
      </c>
      <c r="J71" s="30" t="e">
        <f>#REF!</f>
        <v>#REF!</v>
      </c>
      <c r="K71" s="30" t="e">
        <f>#REF!</f>
        <v>#REF!</v>
      </c>
      <c r="L71" s="30" t="e">
        <f>#REF!</f>
        <v>#REF!</v>
      </c>
      <c r="M71" s="30" t="e">
        <f>#REF!</f>
        <v>#REF!</v>
      </c>
    </row>
    <row r="72" spans="1:14" ht="12.75" x14ac:dyDescent="0.2">
      <c r="A72" s="29" t="s">
        <v>57</v>
      </c>
      <c r="B72" s="31" t="e">
        <f>#REF!</f>
        <v>#REF!</v>
      </c>
      <c r="C72" s="29" t="e">
        <f>#REF!</f>
        <v>#REF!</v>
      </c>
      <c r="D72" s="29" t="e">
        <f>#REF!</f>
        <v>#REF!</v>
      </c>
      <c r="E72" s="29" t="e">
        <f>#REF!</f>
        <v>#REF!</v>
      </c>
      <c r="F72" s="29" t="e">
        <f>#REF!</f>
        <v>#REF!</v>
      </c>
      <c r="G72" s="29" t="e">
        <f>#REF!</f>
        <v>#REF!</v>
      </c>
      <c r="H72" s="29" t="e">
        <f>#REF!</f>
        <v>#REF!</v>
      </c>
      <c r="I72" s="29" t="e">
        <f>#REF!</f>
        <v>#REF!</v>
      </c>
      <c r="J72" s="29" t="e">
        <f>#REF!</f>
        <v>#REF!</v>
      </c>
      <c r="K72" s="29" t="e">
        <f>#REF!</f>
        <v>#REF!</v>
      </c>
      <c r="L72" s="29" t="e">
        <f>#REF!</f>
        <v>#REF!</v>
      </c>
      <c r="M72" s="29" t="e">
        <f>#REF!</f>
        <v>#REF!</v>
      </c>
      <c r="N72" s="26"/>
    </row>
    <row r="73" spans="1:14" ht="12.75" x14ac:dyDescent="0.2">
      <c r="A73" s="29" t="s">
        <v>21</v>
      </c>
      <c r="B73" s="31" t="e">
        <f>SUM(B72:M72)</f>
        <v>#REF!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N73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13" ht="15.75" customHeight="1" x14ac:dyDescent="0.25">
      <c r="A1" s="27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customHeight="1" x14ac:dyDescent="0.25">
      <c r="A2" s="2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27" t="s">
        <v>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28" t="s">
        <v>43</v>
      </c>
      <c r="B4" s="28" t="s">
        <v>44</v>
      </c>
      <c r="C4" s="28" t="s">
        <v>45</v>
      </c>
      <c r="D4" s="28" t="s">
        <v>46</v>
      </c>
      <c r="E4" s="28" t="s">
        <v>47</v>
      </c>
      <c r="F4" s="28" t="s">
        <v>48</v>
      </c>
      <c r="G4" s="28" t="s">
        <v>49</v>
      </c>
      <c r="H4" s="28" t="s">
        <v>50</v>
      </c>
      <c r="I4" s="28" t="s">
        <v>51</v>
      </c>
      <c r="J4" s="28" t="s">
        <v>52</v>
      </c>
      <c r="K4" s="28" t="s">
        <v>53</v>
      </c>
      <c r="L4" s="28" t="s">
        <v>54</v>
      </c>
      <c r="M4" s="28" t="s">
        <v>55</v>
      </c>
    </row>
    <row r="5" spans="1:13" ht="12.75" x14ac:dyDescent="0.2">
      <c r="A5" s="29" t="s">
        <v>56</v>
      </c>
      <c r="B5" s="30" t="e">
        <f>#REF!</f>
        <v>#REF!</v>
      </c>
      <c r="C5" s="30" t="e">
        <f>#REF!</f>
        <v>#REF!</v>
      </c>
      <c r="D5" s="30" t="e">
        <f>#REF!</f>
        <v>#REF!</v>
      </c>
      <c r="E5" s="30" t="e">
        <f>#REF!</f>
        <v>#REF!</v>
      </c>
      <c r="F5" s="30" t="e">
        <f>#REF!</f>
        <v>#REF!</v>
      </c>
      <c r="G5" s="30" t="e">
        <f>#REF!</f>
        <v>#REF!</v>
      </c>
      <c r="H5" s="30" t="e">
        <f>#REF!</f>
        <v>#REF!</v>
      </c>
      <c r="I5" s="30" t="e">
        <f>#REF!</f>
        <v>#REF!</v>
      </c>
      <c r="J5" s="30" t="e">
        <f>#REF!</f>
        <v>#REF!</v>
      </c>
      <c r="K5" s="30" t="e">
        <f>#REF!</f>
        <v>#REF!</v>
      </c>
      <c r="L5" s="30" t="e">
        <f>#REF!</f>
        <v>#REF!</v>
      </c>
      <c r="M5" s="30" t="e">
        <f>#REF!</f>
        <v>#REF!</v>
      </c>
    </row>
    <row r="6" spans="1:13" ht="12.75" x14ac:dyDescent="0.2">
      <c r="A6" s="29" t="s">
        <v>57</v>
      </c>
      <c r="B6" s="31" t="e">
        <f>#REF!</f>
        <v>#REF!</v>
      </c>
      <c r="C6" s="31" t="e">
        <f>#REF!</f>
        <v>#REF!</v>
      </c>
      <c r="D6" s="31" t="e">
        <f>#REF!</f>
        <v>#REF!</v>
      </c>
      <c r="E6" s="31" t="e">
        <f>#REF!</f>
        <v>#REF!</v>
      </c>
      <c r="F6" s="31" t="e">
        <f>#REF!</f>
        <v>#REF!</v>
      </c>
      <c r="G6" s="31" t="e">
        <f>#REF!</f>
        <v>#REF!</v>
      </c>
      <c r="H6" s="31" t="e">
        <f>#REF!</f>
        <v>#REF!</v>
      </c>
      <c r="I6" s="31" t="e">
        <f>#REF!</f>
        <v>#REF!</v>
      </c>
      <c r="J6" s="31" t="e">
        <f>#REF!</f>
        <v>#REF!</v>
      </c>
      <c r="K6" s="31" t="e">
        <f>#REF!</f>
        <v>#REF!</v>
      </c>
      <c r="L6" s="31" t="e">
        <f>#REF!</f>
        <v>#REF!</v>
      </c>
      <c r="M6" s="31" t="e">
        <f>#REF!</f>
        <v>#REF!</v>
      </c>
    </row>
    <row r="7" spans="1:13" ht="12.75" x14ac:dyDescent="0.2">
      <c r="A7" s="29" t="s">
        <v>21</v>
      </c>
      <c r="B7" s="31" t="e">
        <f>SUM(B6:M6)</f>
        <v>#REF!</v>
      </c>
    </row>
    <row r="25" spans="1:14" ht="15" x14ac:dyDescent="0.25">
      <c r="A25" s="27" t="s">
        <v>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ht="15" x14ac:dyDescent="0.25">
      <c r="A26" s="28" t="s">
        <v>43</v>
      </c>
      <c r="B26" s="28" t="s">
        <v>44</v>
      </c>
      <c r="C26" s="28" t="s">
        <v>45</v>
      </c>
      <c r="D26" s="28" t="s">
        <v>46</v>
      </c>
      <c r="E26" s="28" t="s">
        <v>47</v>
      </c>
      <c r="F26" s="28" t="s">
        <v>48</v>
      </c>
      <c r="G26" s="28" t="s">
        <v>49</v>
      </c>
      <c r="H26" s="28" t="s">
        <v>50</v>
      </c>
      <c r="I26" s="28" t="s">
        <v>51</v>
      </c>
      <c r="J26" s="28" t="s">
        <v>52</v>
      </c>
      <c r="K26" s="28" t="s">
        <v>53</v>
      </c>
      <c r="L26" s="28" t="s">
        <v>54</v>
      </c>
      <c r="M26" s="28" t="s">
        <v>55</v>
      </c>
    </row>
    <row r="27" spans="1:14" ht="12.75" x14ac:dyDescent="0.2">
      <c r="A27" s="29" t="s">
        <v>56</v>
      </c>
      <c r="B27" s="30" t="e">
        <f>#REF!</f>
        <v>#REF!</v>
      </c>
      <c r="C27" s="30" t="e">
        <f>#REF!</f>
        <v>#REF!</v>
      </c>
      <c r="D27" s="30" t="e">
        <f>#REF!</f>
        <v>#REF!</v>
      </c>
      <c r="E27" s="30" t="e">
        <f>#REF!</f>
        <v>#REF!</v>
      </c>
      <c r="F27" s="30" t="e">
        <f>#REF!</f>
        <v>#REF!</v>
      </c>
      <c r="G27" s="30" t="e">
        <f>#REF!</f>
        <v>#REF!</v>
      </c>
      <c r="H27" s="30" t="e">
        <f>#REF!</f>
        <v>#REF!</v>
      </c>
      <c r="I27" s="30" t="e">
        <f>#REF!</f>
        <v>#REF!</v>
      </c>
      <c r="J27" s="30" t="e">
        <f>#REF!</f>
        <v>#REF!</v>
      </c>
      <c r="K27" s="30" t="e">
        <f>#REF!</f>
        <v>#REF!</v>
      </c>
      <c r="L27" s="30" t="e">
        <f>#REF!</f>
        <v>#REF!</v>
      </c>
      <c r="M27" s="30" t="e">
        <f>#REF!</f>
        <v>#REF!</v>
      </c>
    </row>
    <row r="28" spans="1:14" ht="12.75" x14ac:dyDescent="0.2">
      <c r="A28" s="29" t="s">
        <v>57</v>
      </c>
      <c r="B28" s="31" t="e">
        <f>#REF!</f>
        <v>#REF!</v>
      </c>
      <c r="C28" s="31" t="e">
        <f>#REF!</f>
        <v>#REF!</v>
      </c>
      <c r="D28" s="31" t="e">
        <f>#REF!</f>
        <v>#REF!</v>
      </c>
      <c r="E28" s="31" t="e">
        <f>#REF!</f>
        <v>#REF!</v>
      </c>
      <c r="F28" s="31" t="e">
        <f>#REF!</f>
        <v>#REF!</v>
      </c>
      <c r="G28" s="31" t="e">
        <f>#REF!</f>
        <v>#REF!</v>
      </c>
      <c r="H28" s="31" t="e">
        <f>#REF!</f>
        <v>#REF!</v>
      </c>
      <c r="I28" s="31" t="e">
        <f>#REF!</f>
        <v>#REF!</v>
      </c>
      <c r="J28" s="31" t="e">
        <f>#REF!</f>
        <v>#REF!</v>
      </c>
      <c r="K28" s="31" t="e">
        <f>#REF!</f>
        <v>#REF!</v>
      </c>
      <c r="L28" s="31" t="e">
        <f>#REF!</f>
        <v>#REF!</v>
      </c>
      <c r="M28" s="31" t="e">
        <f>#REF!</f>
        <v>#REF!</v>
      </c>
      <c r="N28" s="26"/>
    </row>
    <row r="29" spans="1:14" ht="12.75" x14ac:dyDescent="0.2">
      <c r="A29" s="29" t="s">
        <v>21</v>
      </c>
      <c r="B29" s="32" t="e">
        <f>SUM(B28:M28)</f>
        <v>#REF!</v>
      </c>
      <c r="C29" s="33" t="e">
        <f>(B29/B7)*100%</f>
        <v>#REF!</v>
      </c>
    </row>
    <row r="47" spans="1:13" ht="15" x14ac:dyDescent="0.25">
      <c r="A47" s="27" t="s">
        <v>61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x14ac:dyDescent="0.25">
      <c r="A48" s="28" t="s">
        <v>43</v>
      </c>
      <c r="B48" s="28" t="s">
        <v>44</v>
      </c>
      <c r="C48" s="28" t="s">
        <v>45</v>
      </c>
      <c r="D48" s="28" t="s">
        <v>46</v>
      </c>
      <c r="E48" s="28" t="s">
        <v>47</v>
      </c>
      <c r="F48" s="28" t="s">
        <v>48</v>
      </c>
      <c r="G48" s="28" t="s">
        <v>49</v>
      </c>
      <c r="H48" s="28" t="s">
        <v>50</v>
      </c>
      <c r="I48" s="28" t="s">
        <v>51</v>
      </c>
      <c r="J48" s="28" t="s">
        <v>52</v>
      </c>
      <c r="K48" s="28" t="s">
        <v>53</v>
      </c>
      <c r="L48" s="28" t="s">
        <v>54</v>
      </c>
      <c r="M48" s="28" t="s">
        <v>55</v>
      </c>
    </row>
    <row r="49" spans="1:14" ht="12.75" x14ac:dyDescent="0.2">
      <c r="A49" s="29" t="s">
        <v>56</v>
      </c>
      <c r="B49" s="30" t="e">
        <f>#REF!</f>
        <v>#REF!</v>
      </c>
      <c r="C49" s="30" t="e">
        <f>#REF!</f>
        <v>#REF!</v>
      </c>
      <c r="D49" s="30" t="e">
        <f>#REF!</f>
        <v>#REF!</v>
      </c>
      <c r="E49" s="30" t="e">
        <f>#REF!</f>
        <v>#REF!</v>
      </c>
      <c r="F49" s="30" t="e">
        <f>#REF!</f>
        <v>#REF!</v>
      </c>
      <c r="G49" s="30" t="e">
        <f>#REF!</f>
        <v>#REF!</v>
      </c>
      <c r="H49" s="30" t="e">
        <f>#REF!</f>
        <v>#REF!</v>
      </c>
      <c r="I49" s="30" t="e">
        <f>#REF!</f>
        <v>#REF!</v>
      </c>
      <c r="J49" s="30" t="e">
        <f>#REF!</f>
        <v>#REF!</v>
      </c>
      <c r="K49" s="30" t="e">
        <f>#REF!</f>
        <v>#REF!</v>
      </c>
      <c r="L49" s="30" t="e">
        <f>#REF!</f>
        <v>#REF!</v>
      </c>
      <c r="M49" s="30" t="e">
        <f>#REF!</f>
        <v>#REF!</v>
      </c>
    </row>
    <row r="50" spans="1:14" ht="12.75" x14ac:dyDescent="0.2">
      <c r="A50" s="29" t="s">
        <v>57</v>
      </c>
      <c r="B50" s="31" t="e">
        <f>#REF!</f>
        <v>#REF!</v>
      </c>
      <c r="C50" s="31" t="e">
        <f>#REF!</f>
        <v>#REF!</v>
      </c>
      <c r="D50" s="31" t="e">
        <f>#REF!</f>
        <v>#REF!</v>
      </c>
      <c r="E50" s="31" t="e">
        <f>#REF!</f>
        <v>#REF!</v>
      </c>
      <c r="F50" s="31" t="e">
        <f>#REF!</f>
        <v>#REF!</v>
      </c>
      <c r="G50" s="31" t="e">
        <f>#REF!</f>
        <v>#REF!</v>
      </c>
      <c r="H50" s="31" t="e">
        <f>#REF!</f>
        <v>#REF!</v>
      </c>
      <c r="I50" s="31" t="e">
        <f>#REF!</f>
        <v>#REF!</v>
      </c>
      <c r="J50" s="31" t="e">
        <f>#REF!</f>
        <v>#REF!</v>
      </c>
      <c r="K50" s="31" t="e">
        <f>#REF!</f>
        <v>#REF!</v>
      </c>
      <c r="L50" s="31" t="e">
        <f>#REF!</f>
        <v>#REF!</v>
      </c>
      <c r="M50" s="31" t="e">
        <f>#REF!</f>
        <v>#REF!</v>
      </c>
      <c r="N50" s="26"/>
    </row>
    <row r="51" spans="1:14" ht="12.75" x14ac:dyDescent="0.2">
      <c r="A51" s="29" t="s">
        <v>21</v>
      </c>
      <c r="B51" s="32" t="e">
        <f>SUM(B50:M50)</f>
        <v>#REF!</v>
      </c>
      <c r="C51" s="33" t="e">
        <f>(B51/B7)*100%</f>
        <v>#REF!</v>
      </c>
    </row>
    <row r="69" spans="1:14" ht="15" x14ac:dyDescent="0.25">
      <c r="A69" s="27" t="s">
        <v>62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4" ht="15" x14ac:dyDescent="0.25">
      <c r="A70" s="28" t="s">
        <v>43</v>
      </c>
      <c r="B70" s="28" t="s">
        <v>44</v>
      </c>
      <c r="C70" s="28" t="s">
        <v>45</v>
      </c>
      <c r="D70" s="28" t="s">
        <v>46</v>
      </c>
      <c r="E70" s="28" t="s">
        <v>47</v>
      </c>
      <c r="F70" s="28" t="s">
        <v>48</v>
      </c>
      <c r="G70" s="28" t="s">
        <v>49</v>
      </c>
      <c r="H70" s="28" t="s">
        <v>50</v>
      </c>
      <c r="I70" s="28" t="s">
        <v>51</v>
      </c>
      <c r="J70" s="28" t="s">
        <v>52</v>
      </c>
      <c r="K70" s="28" t="s">
        <v>53</v>
      </c>
      <c r="L70" s="28" t="s">
        <v>54</v>
      </c>
      <c r="M70" s="28" t="s">
        <v>55</v>
      </c>
    </row>
    <row r="71" spans="1:14" ht="12.75" x14ac:dyDescent="0.2">
      <c r="A71" s="29" t="s">
        <v>56</v>
      </c>
      <c r="B71" s="30" t="e">
        <f>#REF!</f>
        <v>#REF!</v>
      </c>
      <c r="C71" s="30" t="e">
        <f>#REF!</f>
        <v>#REF!</v>
      </c>
      <c r="D71" s="30" t="e">
        <f>#REF!</f>
        <v>#REF!</v>
      </c>
      <c r="E71" s="30" t="e">
        <f>#REF!</f>
        <v>#REF!</v>
      </c>
      <c r="F71" s="30" t="e">
        <f>#REF!</f>
        <v>#REF!</v>
      </c>
      <c r="G71" s="30" t="e">
        <f>#REF!</f>
        <v>#REF!</v>
      </c>
      <c r="H71" s="30" t="e">
        <f>#REF!</f>
        <v>#REF!</v>
      </c>
      <c r="I71" s="30" t="e">
        <f>#REF!</f>
        <v>#REF!</v>
      </c>
      <c r="J71" s="30" t="e">
        <f>#REF!</f>
        <v>#REF!</v>
      </c>
      <c r="K71" s="30" t="e">
        <f>#REF!</f>
        <v>#REF!</v>
      </c>
      <c r="L71" s="30" t="e">
        <f>#REF!</f>
        <v>#REF!</v>
      </c>
      <c r="M71" s="30" t="e">
        <f>#REF!</f>
        <v>#REF!</v>
      </c>
    </row>
    <row r="72" spans="1:14" ht="12.75" x14ac:dyDescent="0.2">
      <c r="A72" s="29" t="s">
        <v>57</v>
      </c>
      <c r="B72" s="31" t="e">
        <f>#REF!</f>
        <v>#REF!</v>
      </c>
      <c r="C72" s="29" t="e">
        <f>#REF!</f>
        <v>#REF!</v>
      </c>
      <c r="D72" s="29" t="e">
        <f>#REF!</f>
        <v>#REF!</v>
      </c>
      <c r="E72" s="29" t="e">
        <f>#REF!</f>
        <v>#REF!</v>
      </c>
      <c r="F72" s="29" t="e">
        <f>#REF!</f>
        <v>#REF!</v>
      </c>
      <c r="G72" s="29" t="e">
        <f>#REF!</f>
        <v>#REF!</v>
      </c>
      <c r="H72" s="29" t="e">
        <f>#REF!</f>
        <v>#REF!</v>
      </c>
      <c r="I72" s="29" t="e">
        <f>#REF!</f>
        <v>#REF!</v>
      </c>
      <c r="J72" s="29" t="e">
        <f>#REF!</f>
        <v>#REF!</v>
      </c>
      <c r="K72" s="29" t="e">
        <f>#REF!</f>
        <v>#REF!</v>
      </c>
      <c r="L72" s="29" t="e">
        <f>#REF!</f>
        <v>#REF!</v>
      </c>
      <c r="M72" s="29" t="e">
        <f>#REF!</f>
        <v>#REF!</v>
      </c>
      <c r="N72" s="26"/>
    </row>
    <row r="73" spans="1:14" ht="12.75" x14ac:dyDescent="0.2">
      <c r="A73" s="29" t="s">
        <v>21</v>
      </c>
      <c r="B73" s="31" t="e">
        <f>SUM(B72:M72)</f>
        <v>#REF!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N73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13" ht="15.75" customHeight="1" x14ac:dyDescent="0.25">
      <c r="A1" s="27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customHeight="1" x14ac:dyDescent="0.25">
      <c r="A2" s="2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27" t="s">
        <v>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28" t="s">
        <v>43</v>
      </c>
      <c r="B4" s="28" t="s">
        <v>44</v>
      </c>
      <c r="C4" s="28" t="s">
        <v>45</v>
      </c>
      <c r="D4" s="28" t="s">
        <v>46</v>
      </c>
      <c r="E4" s="28" t="s">
        <v>47</v>
      </c>
      <c r="F4" s="28" t="s">
        <v>48</v>
      </c>
      <c r="G4" s="28" t="s">
        <v>49</v>
      </c>
      <c r="H4" s="28" t="s">
        <v>50</v>
      </c>
      <c r="I4" s="28" t="s">
        <v>51</v>
      </c>
      <c r="J4" s="28" t="s">
        <v>52</v>
      </c>
      <c r="K4" s="28" t="s">
        <v>53</v>
      </c>
      <c r="L4" s="28" t="s">
        <v>54</v>
      </c>
      <c r="M4" s="28" t="s">
        <v>55</v>
      </c>
    </row>
    <row r="5" spans="1:13" ht="12.75" x14ac:dyDescent="0.2">
      <c r="A5" s="29" t="s">
        <v>56</v>
      </c>
      <c r="B5" s="30" t="e">
        <f>#REF!</f>
        <v>#REF!</v>
      </c>
      <c r="C5" s="30" t="e">
        <f>#REF!</f>
        <v>#REF!</v>
      </c>
      <c r="D5" s="30" t="e">
        <f>#REF!</f>
        <v>#REF!</v>
      </c>
      <c r="E5" s="30" t="e">
        <f>#REF!</f>
        <v>#REF!</v>
      </c>
      <c r="F5" s="30" t="e">
        <f>#REF!</f>
        <v>#REF!</v>
      </c>
      <c r="G5" s="30" t="e">
        <f>#REF!</f>
        <v>#REF!</v>
      </c>
      <c r="H5" s="30" t="e">
        <f>#REF!</f>
        <v>#REF!</v>
      </c>
      <c r="I5" s="30" t="e">
        <f>#REF!</f>
        <v>#REF!</v>
      </c>
      <c r="J5" s="30" t="e">
        <f>#REF!</f>
        <v>#REF!</v>
      </c>
      <c r="K5" s="30" t="e">
        <f>#REF!</f>
        <v>#REF!</v>
      </c>
      <c r="L5" s="30" t="e">
        <f>#REF!</f>
        <v>#REF!</v>
      </c>
      <c r="M5" s="30" t="e">
        <f>#REF!</f>
        <v>#REF!</v>
      </c>
    </row>
    <row r="6" spans="1:13" ht="12.75" x14ac:dyDescent="0.2">
      <c r="A6" s="29" t="s">
        <v>57</v>
      </c>
      <c r="B6" s="31" t="e">
        <f>#REF!</f>
        <v>#REF!</v>
      </c>
      <c r="C6" s="31" t="e">
        <f>#REF!</f>
        <v>#REF!</v>
      </c>
      <c r="D6" s="31" t="e">
        <f>#REF!</f>
        <v>#REF!</v>
      </c>
      <c r="E6" s="31" t="e">
        <f>#REF!</f>
        <v>#REF!</v>
      </c>
      <c r="F6" s="31" t="e">
        <f>#REF!</f>
        <v>#REF!</v>
      </c>
      <c r="G6" s="31" t="e">
        <f>#REF!</f>
        <v>#REF!</v>
      </c>
      <c r="H6" s="31" t="e">
        <f>#REF!</f>
        <v>#REF!</v>
      </c>
      <c r="I6" s="31" t="e">
        <f>#REF!</f>
        <v>#REF!</v>
      </c>
      <c r="J6" s="31" t="e">
        <f>#REF!</f>
        <v>#REF!</v>
      </c>
      <c r="K6" s="31" t="e">
        <f>#REF!</f>
        <v>#REF!</v>
      </c>
      <c r="L6" s="31" t="e">
        <f>#REF!</f>
        <v>#REF!</v>
      </c>
      <c r="M6" s="31" t="e">
        <f>#REF!</f>
        <v>#REF!</v>
      </c>
    </row>
    <row r="7" spans="1:13" ht="12.75" x14ac:dyDescent="0.2">
      <c r="A7" s="29" t="s">
        <v>21</v>
      </c>
      <c r="B7" s="31" t="e">
        <f>SUM(B6:M6)</f>
        <v>#REF!</v>
      </c>
    </row>
    <row r="25" spans="1:14" ht="15" x14ac:dyDescent="0.25">
      <c r="A25" s="27" t="s">
        <v>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ht="15" x14ac:dyDescent="0.25">
      <c r="A26" s="28" t="s">
        <v>43</v>
      </c>
      <c r="B26" s="28" t="s">
        <v>44</v>
      </c>
      <c r="C26" s="28" t="s">
        <v>45</v>
      </c>
      <c r="D26" s="28" t="s">
        <v>46</v>
      </c>
      <c r="E26" s="28" t="s">
        <v>47</v>
      </c>
      <c r="F26" s="28" t="s">
        <v>48</v>
      </c>
      <c r="G26" s="28" t="s">
        <v>49</v>
      </c>
      <c r="H26" s="28" t="s">
        <v>50</v>
      </c>
      <c r="I26" s="28" t="s">
        <v>51</v>
      </c>
      <c r="J26" s="28" t="s">
        <v>52</v>
      </c>
      <c r="K26" s="28" t="s">
        <v>53</v>
      </c>
      <c r="L26" s="28" t="s">
        <v>54</v>
      </c>
      <c r="M26" s="28" t="s">
        <v>55</v>
      </c>
    </row>
    <row r="27" spans="1:14" ht="12.75" x14ac:dyDescent="0.2">
      <c r="A27" s="29" t="s">
        <v>56</v>
      </c>
      <c r="B27" s="30" t="e">
        <f>#REF!</f>
        <v>#REF!</v>
      </c>
      <c r="C27" s="30" t="e">
        <f>#REF!</f>
        <v>#REF!</v>
      </c>
      <c r="D27" s="30" t="e">
        <f>#REF!</f>
        <v>#REF!</v>
      </c>
      <c r="E27" s="30" t="e">
        <f>#REF!</f>
        <v>#REF!</v>
      </c>
      <c r="F27" s="30" t="e">
        <f>#REF!</f>
        <v>#REF!</v>
      </c>
      <c r="G27" s="30" t="e">
        <f>#REF!</f>
        <v>#REF!</v>
      </c>
      <c r="H27" s="30" t="e">
        <f>#REF!</f>
        <v>#REF!</v>
      </c>
      <c r="I27" s="30" t="e">
        <f>#REF!</f>
        <v>#REF!</v>
      </c>
      <c r="J27" s="30" t="e">
        <f>#REF!</f>
        <v>#REF!</v>
      </c>
      <c r="K27" s="30" t="e">
        <f>#REF!</f>
        <v>#REF!</v>
      </c>
      <c r="L27" s="30" t="e">
        <f>#REF!</f>
        <v>#REF!</v>
      </c>
      <c r="M27" s="30" t="e">
        <f>#REF!</f>
        <v>#REF!</v>
      </c>
    </row>
    <row r="28" spans="1:14" ht="12.75" x14ac:dyDescent="0.2">
      <c r="A28" s="29" t="s">
        <v>57</v>
      </c>
      <c r="B28" s="31" t="e">
        <f>#REF!</f>
        <v>#REF!</v>
      </c>
      <c r="C28" s="31" t="e">
        <f>#REF!</f>
        <v>#REF!</v>
      </c>
      <c r="D28" s="31" t="e">
        <f>#REF!</f>
        <v>#REF!</v>
      </c>
      <c r="E28" s="31" t="e">
        <f>#REF!</f>
        <v>#REF!</v>
      </c>
      <c r="F28" s="31" t="e">
        <f>#REF!</f>
        <v>#REF!</v>
      </c>
      <c r="G28" s="31" t="e">
        <f>#REF!</f>
        <v>#REF!</v>
      </c>
      <c r="H28" s="31" t="e">
        <f>#REF!</f>
        <v>#REF!</v>
      </c>
      <c r="I28" s="31" t="e">
        <f>#REF!</f>
        <v>#REF!</v>
      </c>
      <c r="J28" s="31" t="e">
        <f>#REF!</f>
        <v>#REF!</v>
      </c>
      <c r="K28" s="31" t="e">
        <f>#REF!</f>
        <v>#REF!</v>
      </c>
      <c r="L28" s="31" t="e">
        <f>#REF!</f>
        <v>#REF!</v>
      </c>
      <c r="M28" s="31" t="e">
        <f>#REF!</f>
        <v>#REF!</v>
      </c>
      <c r="N28" s="26"/>
    </row>
    <row r="29" spans="1:14" ht="12.75" x14ac:dyDescent="0.2">
      <c r="A29" s="29" t="s">
        <v>21</v>
      </c>
      <c r="B29" s="32" t="e">
        <f>SUM(B28:M28)</f>
        <v>#REF!</v>
      </c>
      <c r="C29" s="33" t="e">
        <f>(B29/B7)*100%</f>
        <v>#REF!</v>
      </c>
    </row>
    <row r="47" spans="1:13" ht="15" x14ac:dyDescent="0.25">
      <c r="A47" s="27" t="s">
        <v>61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x14ac:dyDescent="0.25">
      <c r="A48" s="28" t="s">
        <v>43</v>
      </c>
      <c r="B48" s="28" t="s">
        <v>44</v>
      </c>
      <c r="C48" s="28" t="s">
        <v>45</v>
      </c>
      <c r="D48" s="28" t="s">
        <v>46</v>
      </c>
      <c r="E48" s="28" t="s">
        <v>47</v>
      </c>
      <c r="F48" s="28" t="s">
        <v>48</v>
      </c>
      <c r="G48" s="28" t="s">
        <v>49</v>
      </c>
      <c r="H48" s="28" t="s">
        <v>50</v>
      </c>
      <c r="I48" s="28" t="s">
        <v>51</v>
      </c>
      <c r="J48" s="28" t="s">
        <v>52</v>
      </c>
      <c r="K48" s="28" t="s">
        <v>53</v>
      </c>
      <c r="L48" s="28" t="s">
        <v>54</v>
      </c>
      <c r="M48" s="28" t="s">
        <v>55</v>
      </c>
    </row>
    <row r="49" spans="1:14" ht="12.75" x14ac:dyDescent="0.2">
      <c r="A49" s="29" t="s">
        <v>56</v>
      </c>
      <c r="B49" s="30" t="e">
        <f>#REF!</f>
        <v>#REF!</v>
      </c>
      <c r="C49" s="30" t="e">
        <f>#REF!</f>
        <v>#REF!</v>
      </c>
      <c r="D49" s="30" t="e">
        <f>#REF!</f>
        <v>#REF!</v>
      </c>
      <c r="E49" s="30" t="e">
        <f>#REF!</f>
        <v>#REF!</v>
      </c>
      <c r="F49" s="30" t="e">
        <f>#REF!</f>
        <v>#REF!</v>
      </c>
      <c r="G49" s="30" t="e">
        <f>#REF!</f>
        <v>#REF!</v>
      </c>
      <c r="H49" s="30" t="e">
        <f>#REF!</f>
        <v>#REF!</v>
      </c>
      <c r="I49" s="30" t="e">
        <f>#REF!</f>
        <v>#REF!</v>
      </c>
      <c r="J49" s="30" t="e">
        <f>#REF!</f>
        <v>#REF!</v>
      </c>
      <c r="K49" s="30" t="e">
        <f>#REF!</f>
        <v>#REF!</v>
      </c>
      <c r="L49" s="30" t="e">
        <f>#REF!</f>
        <v>#REF!</v>
      </c>
      <c r="M49" s="30" t="e">
        <f>#REF!</f>
        <v>#REF!</v>
      </c>
    </row>
    <row r="50" spans="1:14" ht="12.75" x14ac:dyDescent="0.2">
      <c r="A50" s="29" t="s">
        <v>57</v>
      </c>
      <c r="B50" s="31" t="e">
        <f>#REF!</f>
        <v>#REF!</v>
      </c>
      <c r="C50" s="31" t="e">
        <f>#REF!</f>
        <v>#REF!</v>
      </c>
      <c r="D50" s="31" t="e">
        <f>#REF!</f>
        <v>#REF!</v>
      </c>
      <c r="E50" s="31" t="e">
        <f>#REF!</f>
        <v>#REF!</v>
      </c>
      <c r="F50" s="31" t="e">
        <f>#REF!</f>
        <v>#REF!</v>
      </c>
      <c r="G50" s="31" t="e">
        <f>#REF!</f>
        <v>#REF!</v>
      </c>
      <c r="H50" s="31" t="e">
        <f>#REF!</f>
        <v>#REF!</v>
      </c>
      <c r="I50" s="31" t="e">
        <f>#REF!</f>
        <v>#REF!</v>
      </c>
      <c r="J50" s="31" t="e">
        <f>#REF!</f>
        <v>#REF!</v>
      </c>
      <c r="K50" s="31" t="e">
        <f>#REF!</f>
        <v>#REF!</v>
      </c>
      <c r="L50" s="31" t="e">
        <f>#REF!</f>
        <v>#REF!</v>
      </c>
      <c r="M50" s="31" t="e">
        <f>#REF!</f>
        <v>#REF!</v>
      </c>
      <c r="N50" s="26"/>
    </row>
    <row r="51" spans="1:14" ht="12.75" x14ac:dyDescent="0.2">
      <c r="A51" s="29" t="s">
        <v>21</v>
      </c>
      <c r="B51" s="32" t="e">
        <f>SUM(B50:M50)</f>
        <v>#REF!</v>
      </c>
      <c r="C51" s="33" t="e">
        <f>(B51/B7)*100%</f>
        <v>#REF!</v>
      </c>
    </row>
    <row r="69" spans="1:14" ht="15" x14ac:dyDescent="0.25">
      <c r="A69" s="27" t="s">
        <v>62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4" ht="15" x14ac:dyDescent="0.25">
      <c r="A70" s="28" t="s">
        <v>43</v>
      </c>
      <c r="B70" s="28" t="s">
        <v>44</v>
      </c>
      <c r="C70" s="28" t="s">
        <v>45</v>
      </c>
      <c r="D70" s="28" t="s">
        <v>46</v>
      </c>
      <c r="E70" s="28" t="s">
        <v>47</v>
      </c>
      <c r="F70" s="28" t="s">
        <v>48</v>
      </c>
      <c r="G70" s="28" t="s">
        <v>49</v>
      </c>
      <c r="H70" s="28" t="s">
        <v>50</v>
      </c>
      <c r="I70" s="28" t="s">
        <v>51</v>
      </c>
      <c r="J70" s="28" t="s">
        <v>52</v>
      </c>
      <c r="K70" s="28" t="s">
        <v>53</v>
      </c>
      <c r="L70" s="28" t="s">
        <v>54</v>
      </c>
      <c r="M70" s="28" t="s">
        <v>55</v>
      </c>
    </row>
    <row r="71" spans="1:14" ht="12.75" x14ac:dyDescent="0.2">
      <c r="A71" s="29" t="s">
        <v>56</v>
      </c>
      <c r="B71" s="30" t="e">
        <f>#REF!</f>
        <v>#REF!</v>
      </c>
      <c r="C71" s="30" t="e">
        <f>#REF!</f>
        <v>#REF!</v>
      </c>
      <c r="D71" s="30" t="e">
        <f>#REF!</f>
        <v>#REF!</v>
      </c>
      <c r="E71" s="30" t="e">
        <f>#REF!</f>
        <v>#REF!</v>
      </c>
      <c r="F71" s="30" t="e">
        <f>#REF!</f>
        <v>#REF!</v>
      </c>
      <c r="G71" s="30" t="e">
        <f>#REF!</f>
        <v>#REF!</v>
      </c>
      <c r="H71" s="30" t="e">
        <f>#REF!</f>
        <v>#REF!</v>
      </c>
      <c r="I71" s="30" t="e">
        <f>#REF!</f>
        <v>#REF!</v>
      </c>
      <c r="J71" s="30" t="e">
        <f>#REF!</f>
        <v>#REF!</v>
      </c>
      <c r="K71" s="30" t="e">
        <f>#REF!</f>
        <v>#REF!</v>
      </c>
      <c r="L71" s="30" t="e">
        <f>#REF!</f>
        <v>#REF!</v>
      </c>
      <c r="M71" s="30" t="e">
        <f>#REF!</f>
        <v>#REF!</v>
      </c>
    </row>
    <row r="72" spans="1:14" ht="12.75" x14ac:dyDescent="0.2">
      <c r="A72" s="29" t="s">
        <v>57</v>
      </c>
      <c r="B72" s="31" t="e">
        <f>#REF!</f>
        <v>#REF!</v>
      </c>
      <c r="C72" s="29" t="e">
        <f>#REF!</f>
        <v>#REF!</v>
      </c>
      <c r="D72" s="29" t="e">
        <f>#REF!</f>
        <v>#REF!</v>
      </c>
      <c r="E72" s="29" t="e">
        <f>#REF!</f>
        <v>#REF!</v>
      </c>
      <c r="F72" s="29" t="e">
        <f>#REF!</f>
        <v>#REF!</v>
      </c>
      <c r="G72" s="29" t="e">
        <f>#REF!</f>
        <v>#REF!</v>
      </c>
      <c r="H72" s="29" t="e">
        <f>#REF!</f>
        <v>#REF!</v>
      </c>
      <c r="I72" s="29" t="e">
        <f>#REF!</f>
        <v>#REF!</v>
      </c>
      <c r="J72" s="29" t="e">
        <f>#REF!</f>
        <v>#REF!</v>
      </c>
      <c r="K72" s="29" t="e">
        <f>#REF!</f>
        <v>#REF!</v>
      </c>
      <c r="L72" s="29" t="e">
        <f>#REF!</f>
        <v>#REF!</v>
      </c>
      <c r="M72" s="29" t="e">
        <f>#REF!</f>
        <v>#REF!</v>
      </c>
      <c r="N72" s="26"/>
    </row>
    <row r="73" spans="1:14" ht="12.75" x14ac:dyDescent="0.2">
      <c r="A73" s="29" t="s">
        <v>21</v>
      </c>
      <c r="B73" s="31" t="e">
        <f>SUM(B72:M72)</f>
        <v>#REF!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N73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13" ht="15.75" customHeight="1" x14ac:dyDescent="0.25">
      <c r="A1" s="27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customHeight="1" x14ac:dyDescent="0.25">
      <c r="A2" s="2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27" t="s">
        <v>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28" t="s">
        <v>43</v>
      </c>
      <c r="B4" s="28" t="s">
        <v>44</v>
      </c>
      <c r="C4" s="28" t="s">
        <v>45</v>
      </c>
      <c r="D4" s="28" t="s">
        <v>46</v>
      </c>
      <c r="E4" s="28" t="s">
        <v>47</v>
      </c>
      <c r="F4" s="28" t="s">
        <v>48</v>
      </c>
      <c r="G4" s="28" t="s">
        <v>49</v>
      </c>
      <c r="H4" s="28" t="s">
        <v>50</v>
      </c>
      <c r="I4" s="28" t="s">
        <v>51</v>
      </c>
      <c r="J4" s="28" t="s">
        <v>52</v>
      </c>
      <c r="K4" s="28" t="s">
        <v>53</v>
      </c>
      <c r="L4" s="28" t="s">
        <v>54</v>
      </c>
      <c r="M4" s="28" t="s">
        <v>55</v>
      </c>
    </row>
    <row r="5" spans="1:13" ht="12.75" x14ac:dyDescent="0.2">
      <c r="A5" s="29" t="s">
        <v>56</v>
      </c>
      <c r="B5" s="30" t="e">
        <f>#REF!</f>
        <v>#REF!</v>
      </c>
      <c r="C5" s="30" t="e">
        <f>#REF!</f>
        <v>#REF!</v>
      </c>
      <c r="D5" s="30" t="e">
        <f>#REF!</f>
        <v>#REF!</v>
      </c>
      <c r="E5" s="30" t="e">
        <f>#REF!</f>
        <v>#REF!</v>
      </c>
      <c r="F5" s="30" t="e">
        <f>#REF!</f>
        <v>#REF!</v>
      </c>
      <c r="G5" s="30" t="e">
        <f>#REF!</f>
        <v>#REF!</v>
      </c>
      <c r="H5" s="30" t="e">
        <f>#REF!</f>
        <v>#REF!</v>
      </c>
      <c r="I5" s="30" t="e">
        <f>#REF!</f>
        <v>#REF!</v>
      </c>
      <c r="J5" s="30" t="e">
        <f>#REF!</f>
        <v>#REF!</v>
      </c>
      <c r="K5" s="30" t="e">
        <f>#REF!</f>
        <v>#REF!</v>
      </c>
      <c r="L5" s="30" t="e">
        <f>#REF!</f>
        <v>#REF!</v>
      </c>
      <c r="M5" s="30" t="e">
        <f>#REF!</f>
        <v>#REF!</v>
      </c>
    </row>
    <row r="6" spans="1:13" ht="12.75" x14ac:dyDescent="0.2">
      <c r="A6" s="29" t="s">
        <v>57</v>
      </c>
      <c r="B6" s="31" t="e">
        <f>#REF!</f>
        <v>#REF!</v>
      </c>
      <c r="C6" s="31" t="e">
        <f>#REF!</f>
        <v>#REF!</v>
      </c>
      <c r="D6" s="31" t="e">
        <f>#REF!</f>
        <v>#REF!</v>
      </c>
      <c r="E6" s="31" t="e">
        <f>#REF!</f>
        <v>#REF!</v>
      </c>
      <c r="F6" s="31" t="e">
        <f>#REF!</f>
        <v>#REF!</v>
      </c>
      <c r="G6" s="31" t="e">
        <f>#REF!</f>
        <v>#REF!</v>
      </c>
      <c r="H6" s="31" t="e">
        <f>#REF!</f>
        <v>#REF!</v>
      </c>
      <c r="I6" s="31" t="e">
        <f>#REF!</f>
        <v>#REF!</v>
      </c>
      <c r="J6" s="31" t="e">
        <f>#REF!</f>
        <v>#REF!</v>
      </c>
      <c r="K6" s="31" t="e">
        <f>#REF!</f>
        <v>#REF!</v>
      </c>
      <c r="L6" s="31" t="e">
        <f>#REF!</f>
        <v>#REF!</v>
      </c>
      <c r="M6" s="31" t="e">
        <f>#REF!</f>
        <v>#REF!</v>
      </c>
    </row>
    <row r="7" spans="1:13" ht="12.75" x14ac:dyDescent="0.2">
      <c r="A7" s="29" t="s">
        <v>21</v>
      </c>
      <c r="B7" s="31" t="e">
        <f>SUM(B6:M6)</f>
        <v>#REF!</v>
      </c>
    </row>
    <row r="25" spans="1:14" ht="15" x14ac:dyDescent="0.25">
      <c r="A25" s="27" t="s">
        <v>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ht="15" x14ac:dyDescent="0.25">
      <c r="A26" s="28" t="s">
        <v>43</v>
      </c>
      <c r="B26" s="28" t="s">
        <v>44</v>
      </c>
      <c r="C26" s="28" t="s">
        <v>45</v>
      </c>
      <c r="D26" s="28" t="s">
        <v>46</v>
      </c>
      <c r="E26" s="28" t="s">
        <v>47</v>
      </c>
      <c r="F26" s="28" t="s">
        <v>48</v>
      </c>
      <c r="G26" s="28" t="s">
        <v>49</v>
      </c>
      <c r="H26" s="28" t="s">
        <v>50</v>
      </c>
      <c r="I26" s="28" t="s">
        <v>51</v>
      </c>
      <c r="J26" s="28" t="s">
        <v>52</v>
      </c>
      <c r="K26" s="28" t="s">
        <v>53</v>
      </c>
      <c r="L26" s="28" t="s">
        <v>54</v>
      </c>
      <c r="M26" s="28" t="s">
        <v>55</v>
      </c>
    </row>
    <row r="27" spans="1:14" ht="12.75" x14ac:dyDescent="0.2">
      <c r="A27" s="29" t="s">
        <v>56</v>
      </c>
      <c r="B27" s="30" t="e">
        <f>#REF!</f>
        <v>#REF!</v>
      </c>
      <c r="C27" s="30" t="e">
        <f>#REF!</f>
        <v>#REF!</v>
      </c>
      <c r="D27" s="30" t="e">
        <f>#REF!</f>
        <v>#REF!</v>
      </c>
      <c r="E27" s="30" t="e">
        <f>#REF!</f>
        <v>#REF!</v>
      </c>
      <c r="F27" s="30" t="e">
        <f>#REF!</f>
        <v>#REF!</v>
      </c>
      <c r="G27" s="30" t="e">
        <f>#REF!</f>
        <v>#REF!</v>
      </c>
      <c r="H27" s="30" t="e">
        <f>#REF!</f>
        <v>#REF!</v>
      </c>
      <c r="I27" s="30" t="e">
        <f>#REF!</f>
        <v>#REF!</v>
      </c>
      <c r="J27" s="30" t="e">
        <f>#REF!</f>
        <v>#REF!</v>
      </c>
      <c r="K27" s="30" t="e">
        <f>#REF!</f>
        <v>#REF!</v>
      </c>
      <c r="L27" s="30" t="e">
        <f>#REF!</f>
        <v>#REF!</v>
      </c>
      <c r="M27" s="30" t="e">
        <f>#REF!</f>
        <v>#REF!</v>
      </c>
    </row>
    <row r="28" spans="1:14" ht="12.75" x14ac:dyDescent="0.2">
      <c r="A28" s="29" t="s">
        <v>57</v>
      </c>
      <c r="B28" s="31" t="e">
        <f>#REF!</f>
        <v>#REF!</v>
      </c>
      <c r="C28" s="31" t="e">
        <f>#REF!</f>
        <v>#REF!</v>
      </c>
      <c r="D28" s="31" t="e">
        <f>#REF!</f>
        <v>#REF!</v>
      </c>
      <c r="E28" s="31" t="e">
        <f>#REF!</f>
        <v>#REF!</v>
      </c>
      <c r="F28" s="31" t="e">
        <f>#REF!</f>
        <v>#REF!</v>
      </c>
      <c r="G28" s="31" t="e">
        <f>#REF!</f>
        <v>#REF!</v>
      </c>
      <c r="H28" s="31" t="e">
        <f>#REF!</f>
        <v>#REF!</v>
      </c>
      <c r="I28" s="31" t="e">
        <f>#REF!</f>
        <v>#REF!</v>
      </c>
      <c r="J28" s="31" t="e">
        <f>#REF!</f>
        <v>#REF!</v>
      </c>
      <c r="K28" s="31" t="e">
        <f>#REF!</f>
        <v>#REF!</v>
      </c>
      <c r="L28" s="31" t="e">
        <f>#REF!</f>
        <v>#REF!</v>
      </c>
      <c r="M28" s="31" t="e">
        <f>#REF!</f>
        <v>#REF!</v>
      </c>
      <c r="N28" s="26"/>
    </row>
    <row r="29" spans="1:14" ht="12.75" x14ac:dyDescent="0.2">
      <c r="A29" s="29" t="s">
        <v>21</v>
      </c>
      <c r="B29" s="32" t="e">
        <f>SUM(B28:M28)</f>
        <v>#REF!</v>
      </c>
      <c r="C29" s="33" t="e">
        <f>(B29/B7)*100%</f>
        <v>#REF!</v>
      </c>
    </row>
    <row r="47" spans="1:13" ht="15" x14ac:dyDescent="0.25">
      <c r="A47" s="27" t="s">
        <v>61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x14ac:dyDescent="0.25">
      <c r="A48" s="28" t="s">
        <v>43</v>
      </c>
      <c r="B48" s="28" t="s">
        <v>44</v>
      </c>
      <c r="C48" s="28" t="s">
        <v>45</v>
      </c>
      <c r="D48" s="28" t="s">
        <v>46</v>
      </c>
      <c r="E48" s="28" t="s">
        <v>47</v>
      </c>
      <c r="F48" s="28" t="s">
        <v>48</v>
      </c>
      <c r="G48" s="28" t="s">
        <v>49</v>
      </c>
      <c r="H48" s="28" t="s">
        <v>50</v>
      </c>
      <c r="I48" s="28" t="s">
        <v>51</v>
      </c>
      <c r="J48" s="28" t="s">
        <v>52</v>
      </c>
      <c r="K48" s="28" t="s">
        <v>53</v>
      </c>
      <c r="L48" s="28" t="s">
        <v>54</v>
      </c>
      <c r="M48" s="28" t="s">
        <v>55</v>
      </c>
    </row>
    <row r="49" spans="1:14" ht="12.75" x14ac:dyDescent="0.2">
      <c r="A49" s="29" t="s">
        <v>56</v>
      </c>
      <c r="B49" s="30" t="e">
        <f>#REF!</f>
        <v>#REF!</v>
      </c>
      <c r="C49" s="30" t="e">
        <f>#REF!</f>
        <v>#REF!</v>
      </c>
      <c r="D49" s="30" t="e">
        <f>#REF!</f>
        <v>#REF!</v>
      </c>
      <c r="E49" s="30" t="e">
        <f>#REF!</f>
        <v>#REF!</v>
      </c>
      <c r="F49" s="30" t="e">
        <f>#REF!</f>
        <v>#REF!</v>
      </c>
      <c r="G49" s="30" t="e">
        <f>#REF!</f>
        <v>#REF!</v>
      </c>
      <c r="H49" s="30" t="e">
        <f>#REF!</f>
        <v>#REF!</v>
      </c>
      <c r="I49" s="30" t="e">
        <f>#REF!</f>
        <v>#REF!</v>
      </c>
      <c r="J49" s="30" t="e">
        <f>#REF!</f>
        <v>#REF!</v>
      </c>
      <c r="K49" s="30" t="e">
        <f>#REF!</f>
        <v>#REF!</v>
      </c>
      <c r="L49" s="30" t="e">
        <f>#REF!</f>
        <v>#REF!</v>
      </c>
      <c r="M49" s="30" t="e">
        <f>#REF!</f>
        <v>#REF!</v>
      </c>
    </row>
    <row r="50" spans="1:14" ht="12.75" x14ac:dyDescent="0.2">
      <c r="A50" s="29" t="s">
        <v>57</v>
      </c>
      <c r="B50" s="31" t="e">
        <f>#REF!</f>
        <v>#REF!</v>
      </c>
      <c r="C50" s="31" t="e">
        <f>#REF!</f>
        <v>#REF!</v>
      </c>
      <c r="D50" s="31" t="e">
        <f>#REF!</f>
        <v>#REF!</v>
      </c>
      <c r="E50" s="31" t="e">
        <f>#REF!</f>
        <v>#REF!</v>
      </c>
      <c r="F50" s="31" t="e">
        <f>#REF!</f>
        <v>#REF!</v>
      </c>
      <c r="G50" s="31" t="e">
        <f>#REF!</f>
        <v>#REF!</v>
      </c>
      <c r="H50" s="31" t="e">
        <f>#REF!</f>
        <v>#REF!</v>
      </c>
      <c r="I50" s="31" t="e">
        <f>#REF!</f>
        <v>#REF!</v>
      </c>
      <c r="J50" s="31" t="e">
        <f>#REF!</f>
        <v>#REF!</v>
      </c>
      <c r="K50" s="31" t="e">
        <f>#REF!</f>
        <v>#REF!</v>
      </c>
      <c r="L50" s="31" t="e">
        <f>#REF!</f>
        <v>#REF!</v>
      </c>
      <c r="M50" s="31" t="e">
        <f>#REF!</f>
        <v>#REF!</v>
      </c>
      <c r="N50" s="26"/>
    </row>
    <row r="51" spans="1:14" ht="12.75" x14ac:dyDescent="0.2">
      <c r="A51" s="29" t="s">
        <v>21</v>
      </c>
      <c r="B51" s="32" t="e">
        <f>SUM(B50:M50)</f>
        <v>#REF!</v>
      </c>
      <c r="C51" s="33" t="e">
        <f>(B51/B7)*100%</f>
        <v>#REF!</v>
      </c>
    </row>
    <row r="69" spans="1:14" ht="15" x14ac:dyDescent="0.25">
      <c r="A69" s="27" t="s">
        <v>62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4" ht="15" x14ac:dyDescent="0.25">
      <c r="A70" s="28" t="s">
        <v>43</v>
      </c>
      <c r="B70" s="28" t="s">
        <v>44</v>
      </c>
      <c r="C70" s="28" t="s">
        <v>45</v>
      </c>
      <c r="D70" s="28" t="s">
        <v>46</v>
      </c>
      <c r="E70" s="28" t="s">
        <v>47</v>
      </c>
      <c r="F70" s="28" t="s">
        <v>48</v>
      </c>
      <c r="G70" s="28" t="s">
        <v>49</v>
      </c>
      <c r="H70" s="28" t="s">
        <v>50</v>
      </c>
      <c r="I70" s="28" t="s">
        <v>51</v>
      </c>
      <c r="J70" s="28" t="s">
        <v>52</v>
      </c>
      <c r="K70" s="28" t="s">
        <v>53</v>
      </c>
      <c r="L70" s="28" t="s">
        <v>54</v>
      </c>
      <c r="M70" s="28" t="s">
        <v>55</v>
      </c>
    </row>
    <row r="71" spans="1:14" ht="12.75" x14ac:dyDescent="0.2">
      <c r="A71" s="29" t="s">
        <v>56</v>
      </c>
      <c r="B71" s="30" t="e">
        <f>#REF!</f>
        <v>#REF!</v>
      </c>
      <c r="C71" s="30" t="e">
        <f>#REF!</f>
        <v>#REF!</v>
      </c>
      <c r="D71" s="30" t="e">
        <f>#REF!</f>
        <v>#REF!</v>
      </c>
      <c r="E71" s="30" t="e">
        <f>#REF!</f>
        <v>#REF!</v>
      </c>
      <c r="F71" s="30" t="e">
        <f>#REF!</f>
        <v>#REF!</v>
      </c>
      <c r="G71" s="30" t="e">
        <f>#REF!</f>
        <v>#REF!</v>
      </c>
      <c r="H71" s="30" t="e">
        <f>#REF!</f>
        <v>#REF!</v>
      </c>
      <c r="I71" s="30" t="e">
        <f>#REF!</f>
        <v>#REF!</v>
      </c>
      <c r="J71" s="30" t="e">
        <f>#REF!</f>
        <v>#REF!</v>
      </c>
      <c r="K71" s="30" t="e">
        <f>#REF!</f>
        <v>#REF!</v>
      </c>
      <c r="L71" s="30" t="e">
        <f>#REF!</f>
        <v>#REF!</v>
      </c>
      <c r="M71" s="30" t="e">
        <f>#REF!</f>
        <v>#REF!</v>
      </c>
    </row>
    <row r="72" spans="1:14" ht="12.75" x14ac:dyDescent="0.2">
      <c r="A72" s="29" t="s">
        <v>57</v>
      </c>
      <c r="B72" s="31" t="e">
        <f>#REF!</f>
        <v>#REF!</v>
      </c>
      <c r="C72" s="29" t="e">
        <f>#REF!</f>
        <v>#REF!</v>
      </c>
      <c r="D72" s="29" t="e">
        <f>#REF!</f>
        <v>#REF!</v>
      </c>
      <c r="E72" s="29" t="e">
        <f>#REF!</f>
        <v>#REF!</v>
      </c>
      <c r="F72" s="29" t="e">
        <f>#REF!</f>
        <v>#REF!</v>
      </c>
      <c r="G72" s="29" t="e">
        <f>#REF!</f>
        <v>#REF!</v>
      </c>
      <c r="H72" s="29" t="e">
        <f>#REF!</f>
        <v>#REF!</v>
      </c>
      <c r="I72" s="29" t="e">
        <f>#REF!</f>
        <v>#REF!</v>
      </c>
      <c r="J72" s="29" t="e">
        <f>#REF!</f>
        <v>#REF!</v>
      </c>
      <c r="K72" s="29" t="e">
        <f>#REF!</f>
        <v>#REF!</v>
      </c>
      <c r="L72" s="29" t="e">
        <f>#REF!</f>
        <v>#REF!</v>
      </c>
      <c r="M72" s="29" t="e">
        <f>#REF!</f>
        <v>#REF!</v>
      </c>
      <c r="N72" s="26"/>
    </row>
    <row r="73" spans="1:14" ht="12.75" x14ac:dyDescent="0.2">
      <c r="A73" s="29" t="s">
        <v>21</v>
      </c>
      <c r="B73" s="31" t="e">
        <f>SUM(B72:M72)</f>
        <v>#REF!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N73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13" ht="15.75" customHeight="1" x14ac:dyDescent="0.25">
      <c r="A1" s="27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customHeight="1" x14ac:dyDescent="0.25">
      <c r="A2" s="2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27" t="s">
        <v>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28" t="s">
        <v>43</v>
      </c>
      <c r="B4" s="28" t="s">
        <v>44</v>
      </c>
      <c r="C4" s="28" t="s">
        <v>45</v>
      </c>
      <c r="D4" s="28" t="s">
        <v>46</v>
      </c>
      <c r="E4" s="28" t="s">
        <v>47</v>
      </c>
      <c r="F4" s="28" t="s">
        <v>48</v>
      </c>
      <c r="G4" s="28" t="s">
        <v>49</v>
      </c>
      <c r="H4" s="28" t="s">
        <v>50</v>
      </c>
      <c r="I4" s="28" t="s">
        <v>51</v>
      </c>
      <c r="J4" s="28" t="s">
        <v>52</v>
      </c>
      <c r="K4" s="28" t="s">
        <v>53</v>
      </c>
      <c r="L4" s="28" t="s">
        <v>54</v>
      </c>
      <c r="M4" s="28" t="s">
        <v>55</v>
      </c>
    </row>
    <row r="5" spans="1:13" ht="12.75" x14ac:dyDescent="0.2">
      <c r="A5" s="29" t="s">
        <v>56</v>
      </c>
      <c r="B5" s="30" t="e">
        <f>#REF!</f>
        <v>#REF!</v>
      </c>
      <c r="C5" s="30" t="e">
        <f>#REF!</f>
        <v>#REF!</v>
      </c>
      <c r="D5" s="30" t="e">
        <f>#REF!</f>
        <v>#REF!</v>
      </c>
      <c r="E5" s="30" t="e">
        <f>#REF!</f>
        <v>#REF!</v>
      </c>
      <c r="F5" s="30" t="e">
        <f>#REF!</f>
        <v>#REF!</v>
      </c>
      <c r="G5" s="30" t="e">
        <f>#REF!</f>
        <v>#REF!</v>
      </c>
      <c r="H5" s="30" t="e">
        <f>#REF!</f>
        <v>#REF!</v>
      </c>
      <c r="I5" s="30" t="e">
        <f>#REF!</f>
        <v>#REF!</v>
      </c>
      <c r="J5" s="30" t="e">
        <f>#REF!</f>
        <v>#REF!</v>
      </c>
      <c r="K5" s="30" t="e">
        <f>#REF!</f>
        <v>#REF!</v>
      </c>
      <c r="L5" s="30" t="e">
        <f>#REF!</f>
        <v>#REF!</v>
      </c>
      <c r="M5" s="30" t="e">
        <f>#REF!</f>
        <v>#REF!</v>
      </c>
    </row>
    <row r="6" spans="1:13" ht="12.75" x14ac:dyDescent="0.2">
      <c r="A6" s="29" t="s">
        <v>57</v>
      </c>
      <c r="B6" s="31" t="e">
        <f>#REF!</f>
        <v>#REF!</v>
      </c>
      <c r="C6" s="31" t="e">
        <f>#REF!</f>
        <v>#REF!</v>
      </c>
      <c r="D6" s="31" t="e">
        <f>#REF!</f>
        <v>#REF!</v>
      </c>
      <c r="E6" s="31" t="e">
        <f>#REF!</f>
        <v>#REF!</v>
      </c>
      <c r="F6" s="31" t="e">
        <f>#REF!</f>
        <v>#REF!</v>
      </c>
      <c r="G6" s="31" t="e">
        <f>#REF!</f>
        <v>#REF!</v>
      </c>
      <c r="H6" s="31" t="e">
        <f>#REF!</f>
        <v>#REF!</v>
      </c>
      <c r="I6" s="31" t="e">
        <f>#REF!</f>
        <v>#REF!</v>
      </c>
      <c r="J6" s="31" t="e">
        <f>#REF!</f>
        <v>#REF!</v>
      </c>
      <c r="K6" s="31" t="e">
        <f>#REF!</f>
        <v>#REF!</v>
      </c>
      <c r="L6" s="31" t="e">
        <f>#REF!</f>
        <v>#REF!</v>
      </c>
      <c r="M6" s="31" t="e">
        <f>#REF!</f>
        <v>#REF!</v>
      </c>
    </row>
    <row r="7" spans="1:13" ht="12.75" x14ac:dyDescent="0.2">
      <c r="A7" s="29" t="s">
        <v>21</v>
      </c>
      <c r="B7" s="31" t="e">
        <f>SUM(B6:M6)</f>
        <v>#REF!</v>
      </c>
    </row>
    <row r="25" spans="1:14" ht="15" x14ac:dyDescent="0.25">
      <c r="A25" s="27" t="s">
        <v>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ht="15" x14ac:dyDescent="0.25">
      <c r="A26" s="28" t="s">
        <v>43</v>
      </c>
      <c r="B26" s="28" t="s">
        <v>44</v>
      </c>
      <c r="C26" s="28" t="s">
        <v>45</v>
      </c>
      <c r="D26" s="28" t="s">
        <v>46</v>
      </c>
      <c r="E26" s="28" t="s">
        <v>47</v>
      </c>
      <c r="F26" s="28" t="s">
        <v>48</v>
      </c>
      <c r="G26" s="28" t="s">
        <v>49</v>
      </c>
      <c r="H26" s="28" t="s">
        <v>50</v>
      </c>
      <c r="I26" s="28" t="s">
        <v>51</v>
      </c>
      <c r="J26" s="28" t="s">
        <v>52</v>
      </c>
      <c r="K26" s="28" t="s">
        <v>53</v>
      </c>
      <c r="L26" s="28" t="s">
        <v>54</v>
      </c>
      <c r="M26" s="28" t="s">
        <v>55</v>
      </c>
    </row>
    <row r="27" spans="1:14" ht="12.75" x14ac:dyDescent="0.2">
      <c r="A27" s="29" t="s">
        <v>56</v>
      </c>
      <c r="B27" s="30" t="e">
        <f>#REF!</f>
        <v>#REF!</v>
      </c>
      <c r="C27" s="30" t="e">
        <f>#REF!</f>
        <v>#REF!</v>
      </c>
      <c r="D27" s="30" t="e">
        <f>#REF!</f>
        <v>#REF!</v>
      </c>
      <c r="E27" s="30" t="e">
        <f>#REF!</f>
        <v>#REF!</v>
      </c>
      <c r="F27" s="30" t="e">
        <f>#REF!</f>
        <v>#REF!</v>
      </c>
      <c r="G27" s="30" t="e">
        <f>#REF!</f>
        <v>#REF!</v>
      </c>
      <c r="H27" s="30" t="e">
        <f>#REF!</f>
        <v>#REF!</v>
      </c>
      <c r="I27" s="30" t="e">
        <f>#REF!</f>
        <v>#REF!</v>
      </c>
      <c r="J27" s="30" t="e">
        <f>#REF!</f>
        <v>#REF!</v>
      </c>
      <c r="K27" s="30" t="e">
        <f>#REF!</f>
        <v>#REF!</v>
      </c>
      <c r="L27" s="30" t="e">
        <f>#REF!</f>
        <v>#REF!</v>
      </c>
      <c r="M27" s="30" t="e">
        <f>#REF!</f>
        <v>#REF!</v>
      </c>
    </row>
    <row r="28" spans="1:14" ht="12.75" x14ac:dyDescent="0.2">
      <c r="A28" s="29" t="s">
        <v>57</v>
      </c>
      <c r="B28" s="31" t="e">
        <f>#REF!</f>
        <v>#REF!</v>
      </c>
      <c r="C28" s="31" t="e">
        <f>#REF!</f>
        <v>#REF!</v>
      </c>
      <c r="D28" s="31" t="e">
        <f>#REF!</f>
        <v>#REF!</v>
      </c>
      <c r="E28" s="31" t="e">
        <f>#REF!</f>
        <v>#REF!</v>
      </c>
      <c r="F28" s="31" t="e">
        <f>#REF!</f>
        <v>#REF!</v>
      </c>
      <c r="G28" s="31" t="e">
        <f>#REF!</f>
        <v>#REF!</v>
      </c>
      <c r="H28" s="31" t="e">
        <f>#REF!</f>
        <v>#REF!</v>
      </c>
      <c r="I28" s="31" t="e">
        <f>#REF!</f>
        <v>#REF!</v>
      </c>
      <c r="J28" s="31" t="e">
        <f>#REF!</f>
        <v>#REF!</v>
      </c>
      <c r="K28" s="31" t="e">
        <f>#REF!</f>
        <v>#REF!</v>
      </c>
      <c r="L28" s="31" t="e">
        <f>#REF!</f>
        <v>#REF!</v>
      </c>
      <c r="M28" s="31" t="e">
        <f>#REF!</f>
        <v>#REF!</v>
      </c>
      <c r="N28" s="26"/>
    </row>
    <row r="29" spans="1:14" ht="12.75" x14ac:dyDescent="0.2">
      <c r="A29" s="29" t="s">
        <v>21</v>
      </c>
      <c r="B29" s="32" t="e">
        <f>SUM(B28:M28)</f>
        <v>#REF!</v>
      </c>
      <c r="C29" s="33" t="e">
        <f>(B29/B7)*100%</f>
        <v>#REF!</v>
      </c>
    </row>
    <row r="47" spans="1:13" ht="15" x14ac:dyDescent="0.25">
      <c r="A47" s="27" t="s">
        <v>61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x14ac:dyDescent="0.25">
      <c r="A48" s="28" t="s">
        <v>43</v>
      </c>
      <c r="B48" s="28" t="s">
        <v>44</v>
      </c>
      <c r="C48" s="28" t="s">
        <v>45</v>
      </c>
      <c r="D48" s="28" t="s">
        <v>46</v>
      </c>
      <c r="E48" s="28" t="s">
        <v>47</v>
      </c>
      <c r="F48" s="28" t="s">
        <v>48</v>
      </c>
      <c r="G48" s="28" t="s">
        <v>49</v>
      </c>
      <c r="H48" s="28" t="s">
        <v>50</v>
      </c>
      <c r="I48" s="28" t="s">
        <v>51</v>
      </c>
      <c r="J48" s="28" t="s">
        <v>52</v>
      </c>
      <c r="K48" s="28" t="s">
        <v>53</v>
      </c>
      <c r="L48" s="28" t="s">
        <v>54</v>
      </c>
      <c r="M48" s="28" t="s">
        <v>55</v>
      </c>
    </row>
    <row r="49" spans="1:14" ht="12.75" x14ac:dyDescent="0.2">
      <c r="A49" s="29" t="s">
        <v>56</v>
      </c>
      <c r="B49" s="30" t="e">
        <f>#REF!</f>
        <v>#REF!</v>
      </c>
      <c r="C49" s="30" t="e">
        <f>#REF!</f>
        <v>#REF!</v>
      </c>
      <c r="D49" s="30" t="e">
        <f>#REF!</f>
        <v>#REF!</v>
      </c>
      <c r="E49" s="30" t="e">
        <f>#REF!</f>
        <v>#REF!</v>
      </c>
      <c r="F49" s="30" t="e">
        <f>#REF!</f>
        <v>#REF!</v>
      </c>
      <c r="G49" s="30" t="e">
        <f>#REF!</f>
        <v>#REF!</v>
      </c>
      <c r="H49" s="30" t="e">
        <f>#REF!</f>
        <v>#REF!</v>
      </c>
      <c r="I49" s="30" t="e">
        <f>#REF!</f>
        <v>#REF!</v>
      </c>
      <c r="J49" s="30" t="e">
        <f>#REF!</f>
        <v>#REF!</v>
      </c>
      <c r="K49" s="30" t="e">
        <f>#REF!</f>
        <v>#REF!</v>
      </c>
      <c r="L49" s="30" t="e">
        <f>#REF!</f>
        <v>#REF!</v>
      </c>
      <c r="M49" s="30" t="e">
        <f>#REF!</f>
        <v>#REF!</v>
      </c>
    </row>
    <row r="50" spans="1:14" ht="12.75" x14ac:dyDescent="0.2">
      <c r="A50" s="29" t="s">
        <v>57</v>
      </c>
      <c r="B50" s="31" t="e">
        <f>#REF!</f>
        <v>#REF!</v>
      </c>
      <c r="C50" s="31" t="e">
        <f>#REF!</f>
        <v>#REF!</v>
      </c>
      <c r="D50" s="31" t="e">
        <f>#REF!</f>
        <v>#REF!</v>
      </c>
      <c r="E50" s="31" t="e">
        <f>#REF!</f>
        <v>#REF!</v>
      </c>
      <c r="F50" s="31" t="e">
        <f>#REF!</f>
        <v>#REF!</v>
      </c>
      <c r="G50" s="31" t="e">
        <f>#REF!</f>
        <v>#REF!</v>
      </c>
      <c r="H50" s="31" t="e">
        <f>#REF!</f>
        <v>#REF!</v>
      </c>
      <c r="I50" s="31" t="e">
        <f>#REF!</f>
        <v>#REF!</v>
      </c>
      <c r="J50" s="31" t="e">
        <f>#REF!</f>
        <v>#REF!</v>
      </c>
      <c r="K50" s="31" t="e">
        <f>#REF!</f>
        <v>#REF!</v>
      </c>
      <c r="L50" s="31" t="e">
        <f>#REF!</f>
        <v>#REF!</v>
      </c>
      <c r="M50" s="31" t="e">
        <f>#REF!</f>
        <v>#REF!</v>
      </c>
      <c r="N50" s="26"/>
    </row>
    <row r="51" spans="1:14" ht="12.75" x14ac:dyDescent="0.2">
      <c r="A51" s="29" t="s">
        <v>21</v>
      </c>
      <c r="B51" s="32" t="e">
        <f>SUM(B50:M50)</f>
        <v>#REF!</v>
      </c>
      <c r="C51" s="33" t="e">
        <f>(B51/B7)*100%</f>
        <v>#REF!</v>
      </c>
    </row>
    <row r="69" spans="1:14" ht="15" x14ac:dyDescent="0.25">
      <c r="A69" s="27" t="s">
        <v>62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4" ht="15" x14ac:dyDescent="0.25">
      <c r="A70" s="28" t="s">
        <v>43</v>
      </c>
      <c r="B70" s="28" t="s">
        <v>44</v>
      </c>
      <c r="C70" s="28" t="s">
        <v>45</v>
      </c>
      <c r="D70" s="28" t="s">
        <v>46</v>
      </c>
      <c r="E70" s="28" t="s">
        <v>47</v>
      </c>
      <c r="F70" s="28" t="s">
        <v>48</v>
      </c>
      <c r="G70" s="28" t="s">
        <v>49</v>
      </c>
      <c r="H70" s="28" t="s">
        <v>50</v>
      </c>
      <c r="I70" s="28" t="s">
        <v>51</v>
      </c>
      <c r="J70" s="28" t="s">
        <v>52</v>
      </c>
      <c r="K70" s="28" t="s">
        <v>53</v>
      </c>
      <c r="L70" s="28" t="s">
        <v>54</v>
      </c>
      <c r="M70" s="28" t="s">
        <v>55</v>
      </c>
    </row>
    <row r="71" spans="1:14" ht="12.75" x14ac:dyDescent="0.2">
      <c r="A71" s="29" t="s">
        <v>56</v>
      </c>
      <c r="B71" s="30" t="e">
        <f>#REF!</f>
        <v>#REF!</v>
      </c>
      <c r="C71" s="30" t="e">
        <f>#REF!</f>
        <v>#REF!</v>
      </c>
      <c r="D71" s="30" t="e">
        <f>#REF!</f>
        <v>#REF!</v>
      </c>
      <c r="E71" s="30" t="e">
        <f>#REF!</f>
        <v>#REF!</v>
      </c>
      <c r="F71" s="30" t="e">
        <f>#REF!</f>
        <v>#REF!</v>
      </c>
      <c r="G71" s="30" t="e">
        <f>#REF!</f>
        <v>#REF!</v>
      </c>
      <c r="H71" s="30" t="e">
        <f>#REF!</f>
        <v>#REF!</v>
      </c>
      <c r="I71" s="30" t="e">
        <f>#REF!</f>
        <v>#REF!</v>
      </c>
      <c r="J71" s="30" t="e">
        <f>#REF!</f>
        <v>#REF!</v>
      </c>
      <c r="K71" s="30" t="e">
        <f>#REF!</f>
        <v>#REF!</v>
      </c>
      <c r="L71" s="30" t="e">
        <f>#REF!</f>
        <v>#REF!</v>
      </c>
      <c r="M71" s="30" t="e">
        <f>#REF!</f>
        <v>#REF!</v>
      </c>
    </row>
    <row r="72" spans="1:14" ht="12.75" x14ac:dyDescent="0.2">
      <c r="A72" s="29" t="s">
        <v>57</v>
      </c>
      <c r="B72" s="31" t="e">
        <f>#REF!</f>
        <v>#REF!</v>
      </c>
      <c r="C72" s="29" t="e">
        <f>#REF!</f>
        <v>#REF!</v>
      </c>
      <c r="D72" s="29" t="e">
        <f>#REF!</f>
        <v>#REF!</v>
      </c>
      <c r="E72" s="29" t="e">
        <f>#REF!</f>
        <v>#REF!</v>
      </c>
      <c r="F72" s="29" t="e">
        <f>#REF!</f>
        <v>#REF!</v>
      </c>
      <c r="G72" s="29" t="e">
        <f>#REF!</f>
        <v>#REF!</v>
      </c>
      <c r="H72" s="29" t="e">
        <f>#REF!</f>
        <v>#REF!</v>
      </c>
      <c r="I72" s="29" t="e">
        <f>#REF!</f>
        <v>#REF!</v>
      </c>
      <c r="J72" s="29" t="e">
        <f>#REF!</f>
        <v>#REF!</v>
      </c>
      <c r="K72" s="29" t="e">
        <f>#REF!</f>
        <v>#REF!</v>
      </c>
      <c r="L72" s="29" t="e">
        <f>#REF!</f>
        <v>#REF!</v>
      </c>
      <c r="M72" s="29" t="e">
        <f>#REF!</f>
        <v>#REF!</v>
      </c>
      <c r="N72" s="26"/>
    </row>
    <row r="73" spans="1:14" ht="12.75" x14ac:dyDescent="0.2">
      <c r="A73" s="29" t="s">
        <v>21</v>
      </c>
      <c r="B73" s="31" t="e">
        <f>SUM(B72:M72)</f>
        <v>#REF!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N73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13" ht="15.75" customHeight="1" x14ac:dyDescent="0.25">
      <c r="A1" s="27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customHeight="1" x14ac:dyDescent="0.25">
      <c r="A2" s="27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customHeight="1" x14ac:dyDescent="0.25">
      <c r="A3" s="27" t="s">
        <v>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 x14ac:dyDescent="0.25">
      <c r="A4" s="28" t="s">
        <v>43</v>
      </c>
      <c r="B4" s="28" t="s">
        <v>44</v>
      </c>
      <c r="C4" s="28" t="s">
        <v>45</v>
      </c>
      <c r="D4" s="28" t="s">
        <v>46</v>
      </c>
      <c r="E4" s="28" t="s">
        <v>47</v>
      </c>
      <c r="F4" s="28" t="s">
        <v>48</v>
      </c>
      <c r="G4" s="28" t="s">
        <v>49</v>
      </c>
      <c r="H4" s="28" t="s">
        <v>50</v>
      </c>
      <c r="I4" s="28" t="s">
        <v>51</v>
      </c>
      <c r="J4" s="28" t="s">
        <v>52</v>
      </c>
      <c r="K4" s="28" t="s">
        <v>53</v>
      </c>
      <c r="L4" s="28" t="s">
        <v>54</v>
      </c>
      <c r="M4" s="28" t="s">
        <v>55</v>
      </c>
    </row>
    <row r="5" spans="1:13" ht="12.75" x14ac:dyDescent="0.2">
      <c r="A5" s="29" t="s">
        <v>56</v>
      </c>
      <c r="B5" s="30" t="e">
        <f>#REF!</f>
        <v>#REF!</v>
      </c>
      <c r="C5" s="30" t="e">
        <f>#REF!</f>
        <v>#REF!</v>
      </c>
      <c r="D5" s="30" t="e">
        <f>#REF!</f>
        <v>#REF!</v>
      </c>
      <c r="E5" s="30" t="e">
        <f>#REF!</f>
        <v>#REF!</v>
      </c>
      <c r="F5" s="30" t="e">
        <f>#REF!</f>
        <v>#REF!</v>
      </c>
      <c r="G5" s="30" t="e">
        <f>#REF!</f>
        <v>#REF!</v>
      </c>
      <c r="H5" s="30" t="e">
        <f>#REF!</f>
        <v>#REF!</v>
      </c>
      <c r="I5" s="30" t="e">
        <f>#REF!</f>
        <v>#REF!</v>
      </c>
      <c r="J5" s="30" t="e">
        <f>#REF!</f>
        <v>#REF!</v>
      </c>
      <c r="K5" s="30" t="e">
        <f>#REF!</f>
        <v>#REF!</v>
      </c>
      <c r="L5" s="30" t="e">
        <f>#REF!</f>
        <v>#REF!</v>
      </c>
      <c r="M5" s="30" t="e">
        <f>#REF!</f>
        <v>#REF!</v>
      </c>
    </row>
    <row r="6" spans="1:13" ht="12.75" x14ac:dyDescent="0.2">
      <c r="A6" s="29" t="s">
        <v>57</v>
      </c>
      <c r="B6" s="31" t="e">
        <f>#REF!</f>
        <v>#REF!</v>
      </c>
      <c r="C6" s="31" t="e">
        <f>#REF!</f>
        <v>#REF!</v>
      </c>
      <c r="D6" s="31" t="e">
        <f>#REF!</f>
        <v>#REF!</v>
      </c>
      <c r="E6" s="31" t="e">
        <f>#REF!</f>
        <v>#REF!</v>
      </c>
      <c r="F6" s="31" t="e">
        <f>#REF!</f>
        <v>#REF!</v>
      </c>
      <c r="G6" s="31" t="e">
        <f>#REF!</f>
        <v>#REF!</v>
      </c>
      <c r="H6" s="31" t="e">
        <f>#REF!</f>
        <v>#REF!</v>
      </c>
      <c r="I6" s="31" t="e">
        <f>#REF!</f>
        <v>#REF!</v>
      </c>
      <c r="J6" s="31" t="e">
        <f>#REF!</f>
        <v>#REF!</v>
      </c>
      <c r="K6" s="31" t="e">
        <f>#REF!</f>
        <v>#REF!</v>
      </c>
      <c r="L6" s="31" t="e">
        <f>#REF!</f>
        <v>#REF!</v>
      </c>
      <c r="M6" s="31" t="e">
        <f>#REF!</f>
        <v>#REF!</v>
      </c>
    </row>
    <row r="7" spans="1:13" ht="12.75" x14ac:dyDescent="0.2">
      <c r="A7" s="29" t="s">
        <v>21</v>
      </c>
      <c r="B7" s="31" t="e">
        <f>SUM(B6:M6)</f>
        <v>#REF!</v>
      </c>
    </row>
    <row r="25" spans="1:14" ht="15" x14ac:dyDescent="0.25">
      <c r="A25" s="27" t="s">
        <v>58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 ht="15" x14ac:dyDescent="0.25">
      <c r="A26" s="28" t="s">
        <v>43</v>
      </c>
      <c r="B26" s="28" t="s">
        <v>44</v>
      </c>
      <c r="C26" s="28" t="s">
        <v>45</v>
      </c>
      <c r="D26" s="28" t="s">
        <v>46</v>
      </c>
      <c r="E26" s="28" t="s">
        <v>47</v>
      </c>
      <c r="F26" s="28" t="s">
        <v>48</v>
      </c>
      <c r="G26" s="28" t="s">
        <v>49</v>
      </c>
      <c r="H26" s="28" t="s">
        <v>50</v>
      </c>
      <c r="I26" s="28" t="s">
        <v>51</v>
      </c>
      <c r="J26" s="28" t="s">
        <v>52</v>
      </c>
      <c r="K26" s="28" t="s">
        <v>53</v>
      </c>
      <c r="L26" s="28" t="s">
        <v>54</v>
      </c>
      <c r="M26" s="28" t="s">
        <v>55</v>
      </c>
    </row>
    <row r="27" spans="1:14" ht="12.75" x14ac:dyDescent="0.2">
      <c r="A27" s="29" t="s">
        <v>56</v>
      </c>
      <c r="B27" s="30" t="e">
        <f>#REF!</f>
        <v>#REF!</v>
      </c>
      <c r="C27" s="30" t="e">
        <f>#REF!</f>
        <v>#REF!</v>
      </c>
      <c r="D27" s="30" t="e">
        <f>#REF!</f>
        <v>#REF!</v>
      </c>
      <c r="E27" s="30" t="e">
        <f>#REF!</f>
        <v>#REF!</v>
      </c>
      <c r="F27" s="30" t="e">
        <f>#REF!</f>
        <v>#REF!</v>
      </c>
      <c r="G27" s="30" t="e">
        <f>#REF!</f>
        <v>#REF!</v>
      </c>
      <c r="H27" s="30" t="e">
        <f>#REF!</f>
        <v>#REF!</v>
      </c>
      <c r="I27" s="30" t="e">
        <f>#REF!</f>
        <v>#REF!</v>
      </c>
      <c r="J27" s="30" t="e">
        <f>#REF!</f>
        <v>#REF!</v>
      </c>
      <c r="K27" s="30" t="e">
        <f>#REF!</f>
        <v>#REF!</v>
      </c>
      <c r="L27" s="30" t="e">
        <f>#REF!</f>
        <v>#REF!</v>
      </c>
      <c r="M27" s="30" t="e">
        <f>#REF!</f>
        <v>#REF!</v>
      </c>
    </row>
    <row r="28" spans="1:14" ht="12.75" x14ac:dyDescent="0.2">
      <c r="A28" s="29" t="s">
        <v>57</v>
      </c>
      <c r="B28" s="31" t="e">
        <f>#REF!</f>
        <v>#REF!</v>
      </c>
      <c r="C28" s="31" t="e">
        <f>#REF!</f>
        <v>#REF!</v>
      </c>
      <c r="D28" s="31" t="e">
        <f>#REF!</f>
        <v>#REF!</v>
      </c>
      <c r="E28" s="31" t="e">
        <f>#REF!</f>
        <v>#REF!</v>
      </c>
      <c r="F28" s="31" t="e">
        <f>#REF!</f>
        <v>#REF!</v>
      </c>
      <c r="G28" s="31" t="e">
        <f>#REF!</f>
        <v>#REF!</v>
      </c>
      <c r="H28" s="31" t="e">
        <f>#REF!</f>
        <v>#REF!</v>
      </c>
      <c r="I28" s="31" t="e">
        <f>#REF!</f>
        <v>#REF!</v>
      </c>
      <c r="J28" s="31" t="e">
        <f>#REF!</f>
        <v>#REF!</v>
      </c>
      <c r="K28" s="31" t="e">
        <f>#REF!</f>
        <v>#REF!</v>
      </c>
      <c r="L28" s="31" t="e">
        <f>#REF!</f>
        <v>#REF!</v>
      </c>
      <c r="M28" s="31" t="e">
        <f>#REF!</f>
        <v>#REF!</v>
      </c>
      <c r="N28" s="26"/>
    </row>
    <row r="29" spans="1:14" ht="12.75" x14ac:dyDescent="0.2">
      <c r="A29" s="29" t="s">
        <v>21</v>
      </c>
      <c r="B29" s="32" t="e">
        <f>SUM(B28:M28)</f>
        <v>#REF!</v>
      </c>
      <c r="C29" s="33" t="e">
        <f>(B29/B7)*100%</f>
        <v>#REF!</v>
      </c>
    </row>
    <row r="47" spans="1:13" ht="15" x14ac:dyDescent="0.25">
      <c r="A47" s="27" t="s">
        <v>61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x14ac:dyDescent="0.25">
      <c r="A48" s="28" t="s">
        <v>43</v>
      </c>
      <c r="B48" s="28" t="s">
        <v>44</v>
      </c>
      <c r="C48" s="28" t="s">
        <v>45</v>
      </c>
      <c r="D48" s="28" t="s">
        <v>46</v>
      </c>
      <c r="E48" s="28" t="s">
        <v>47</v>
      </c>
      <c r="F48" s="28" t="s">
        <v>48</v>
      </c>
      <c r="G48" s="28" t="s">
        <v>49</v>
      </c>
      <c r="H48" s="28" t="s">
        <v>50</v>
      </c>
      <c r="I48" s="28" t="s">
        <v>51</v>
      </c>
      <c r="J48" s="28" t="s">
        <v>52</v>
      </c>
      <c r="K48" s="28" t="s">
        <v>53</v>
      </c>
      <c r="L48" s="28" t="s">
        <v>54</v>
      </c>
      <c r="M48" s="28" t="s">
        <v>55</v>
      </c>
    </row>
    <row r="49" spans="1:14" ht="12.75" x14ac:dyDescent="0.2">
      <c r="A49" s="29" t="s">
        <v>56</v>
      </c>
      <c r="B49" s="30" t="e">
        <f>#REF!</f>
        <v>#REF!</v>
      </c>
      <c r="C49" s="30" t="e">
        <f>#REF!</f>
        <v>#REF!</v>
      </c>
      <c r="D49" s="30" t="e">
        <f>#REF!</f>
        <v>#REF!</v>
      </c>
      <c r="E49" s="30" t="e">
        <f>#REF!</f>
        <v>#REF!</v>
      </c>
      <c r="F49" s="30" t="e">
        <f>#REF!</f>
        <v>#REF!</v>
      </c>
      <c r="G49" s="30" t="e">
        <f>#REF!</f>
        <v>#REF!</v>
      </c>
      <c r="H49" s="30" t="e">
        <f>#REF!</f>
        <v>#REF!</v>
      </c>
      <c r="I49" s="30" t="e">
        <f>#REF!</f>
        <v>#REF!</v>
      </c>
      <c r="J49" s="30" t="e">
        <f>#REF!</f>
        <v>#REF!</v>
      </c>
      <c r="K49" s="30" t="e">
        <f>#REF!</f>
        <v>#REF!</v>
      </c>
      <c r="L49" s="30" t="e">
        <f>#REF!</f>
        <v>#REF!</v>
      </c>
      <c r="M49" s="30" t="e">
        <f>#REF!</f>
        <v>#REF!</v>
      </c>
    </row>
    <row r="50" spans="1:14" ht="12.75" x14ac:dyDescent="0.2">
      <c r="A50" s="29" t="s">
        <v>57</v>
      </c>
      <c r="B50" s="31" t="e">
        <f>#REF!</f>
        <v>#REF!</v>
      </c>
      <c r="C50" s="31" t="e">
        <f>#REF!</f>
        <v>#REF!</v>
      </c>
      <c r="D50" s="31" t="e">
        <f>#REF!</f>
        <v>#REF!</v>
      </c>
      <c r="E50" s="31" t="e">
        <f>#REF!</f>
        <v>#REF!</v>
      </c>
      <c r="F50" s="31" t="e">
        <f>#REF!</f>
        <v>#REF!</v>
      </c>
      <c r="G50" s="31" t="e">
        <f>#REF!</f>
        <v>#REF!</v>
      </c>
      <c r="H50" s="31" t="e">
        <f>#REF!</f>
        <v>#REF!</v>
      </c>
      <c r="I50" s="31" t="e">
        <f>#REF!</f>
        <v>#REF!</v>
      </c>
      <c r="J50" s="31" t="e">
        <f>#REF!</f>
        <v>#REF!</v>
      </c>
      <c r="K50" s="31" t="e">
        <f>#REF!</f>
        <v>#REF!</v>
      </c>
      <c r="L50" s="31" t="e">
        <f>#REF!</f>
        <v>#REF!</v>
      </c>
      <c r="M50" s="31" t="e">
        <f>#REF!</f>
        <v>#REF!</v>
      </c>
      <c r="N50" s="26"/>
    </row>
    <row r="51" spans="1:14" ht="12.75" x14ac:dyDescent="0.2">
      <c r="A51" s="29" t="s">
        <v>21</v>
      </c>
      <c r="B51" s="32" t="e">
        <f>SUM(B50:M50)</f>
        <v>#REF!</v>
      </c>
      <c r="C51" s="33" t="e">
        <f>(B51/B7)*100%</f>
        <v>#REF!</v>
      </c>
    </row>
    <row r="69" spans="1:14" ht="15" x14ac:dyDescent="0.25">
      <c r="A69" s="27" t="s">
        <v>62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4" ht="15" x14ac:dyDescent="0.25">
      <c r="A70" s="28" t="s">
        <v>43</v>
      </c>
      <c r="B70" s="28" t="s">
        <v>44</v>
      </c>
      <c r="C70" s="28" t="s">
        <v>45</v>
      </c>
      <c r="D70" s="28" t="s">
        <v>46</v>
      </c>
      <c r="E70" s="28" t="s">
        <v>47</v>
      </c>
      <c r="F70" s="28" t="s">
        <v>48</v>
      </c>
      <c r="G70" s="28" t="s">
        <v>49</v>
      </c>
      <c r="H70" s="28" t="s">
        <v>50</v>
      </c>
      <c r="I70" s="28" t="s">
        <v>51</v>
      </c>
      <c r="J70" s="28" t="s">
        <v>52</v>
      </c>
      <c r="K70" s="28" t="s">
        <v>53</v>
      </c>
      <c r="L70" s="28" t="s">
        <v>54</v>
      </c>
      <c r="M70" s="28" t="s">
        <v>55</v>
      </c>
    </row>
    <row r="71" spans="1:14" ht="12.75" x14ac:dyDescent="0.2">
      <c r="A71" s="29" t="s">
        <v>56</v>
      </c>
      <c r="B71" s="30" t="e">
        <f>#REF!</f>
        <v>#REF!</v>
      </c>
      <c r="C71" s="30" t="e">
        <f>#REF!</f>
        <v>#REF!</v>
      </c>
      <c r="D71" s="30" t="e">
        <f>#REF!</f>
        <v>#REF!</v>
      </c>
      <c r="E71" s="30" t="e">
        <f>#REF!</f>
        <v>#REF!</v>
      </c>
      <c r="F71" s="30" t="e">
        <f>#REF!</f>
        <v>#REF!</v>
      </c>
      <c r="G71" s="30" t="e">
        <f>#REF!</f>
        <v>#REF!</v>
      </c>
      <c r="H71" s="30" t="e">
        <f>#REF!</f>
        <v>#REF!</v>
      </c>
      <c r="I71" s="30" t="e">
        <f>#REF!</f>
        <v>#REF!</v>
      </c>
      <c r="J71" s="30" t="e">
        <f>#REF!</f>
        <v>#REF!</v>
      </c>
      <c r="K71" s="30" t="e">
        <f>#REF!</f>
        <v>#REF!</v>
      </c>
      <c r="L71" s="30" t="e">
        <f>#REF!</f>
        <v>#REF!</v>
      </c>
      <c r="M71" s="30" t="e">
        <f>#REF!</f>
        <v>#REF!</v>
      </c>
    </row>
    <row r="72" spans="1:14" ht="12.75" x14ac:dyDescent="0.2">
      <c r="A72" s="29" t="s">
        <v>57</v>
      </c>
      <c r="B72" s="31" t="e">
        <f>#REF!</f>
        <v>#REF!</v>
      </c>
      <c r="C72" s="29" t="e">
        <f>#REF!</f>
        <v>#REF!</v>
      </c>
      <c r="D72" s="29" t="e">
        <f>#REF!</f>
        <v>#REF!</v>
      </c>
      <c r="E72" s="29" t="e">
        <f>#REF!</f>
        <v>#REF!</v>
      </c>
      <c r="F72" s="29" t="e">
        <f>#REF!</f>
        <v>#REF!</v>
      </c>
      <c r="G72" s="29" t="e">
        <f>#REF!</f>
        <v>#REF!</v>
      </c>
      <c r="H72" s="29" t="e">
        <f>#REF!</f>
        <v>#REF!</v>
      </c>
      <c r="I72" s="29" t="e">
        <f>#REF!</f>
        <v>#REF!</v>
      </c>
      <c r="J72" s="29" t="e">
        <f>#REF!</f>
        <v>#REF!</v>
      </c>
      <c r="K72" s="29" t="e">
        <f>#REF!</f>
        <v>#REF!</v>
      </c>
      <c r="L72" s="29" t="e">
        <f>#REF!</f>
        <v>#REF!</v>
      </c>
      <c r="M72" s="29" t="e">
        <f>#REF!</f>
        <v>#REF!</v>
      </c>
      <c r="N72" s="26"/>
    </row>
    <row r="73" spans="1:14" ht="12.75" x14ac:dyDescent="0.2">
      <c r="A73" s="29" t="s">
        <v>21</v>
      </c>
      <c r="B73" s="31" t="e">
        <f>SUM(B72:M72)</f>
        <v>#REF!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Z1000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26" ht="15.75" customHeight="1" x14ac:dyDescent="0.25">
      <c r="A1" s="34" t="s">
        <v>69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 x14ac:dyDescent="0.25">
      <c r="A3" s="34" t="s">
        <v>42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 x14ac:dyDescent="0.25">
      <c r="A4" s="36" t="s">
        <v>43</v>
      </c>
      <c r="B4" s="36" t="s">
        <v>44</v>
      </c>
      <c r="C4" s="36" t="s">
        <v>45</v>
      </c>
      <c r="D4" s="36" t="s">
        <v>46</v>
      </c>
      <c r="E4" s="36" t="s">
        <v>47</v>
      </c>
      <c r="F4" s="36" t="s">
        <v>48</v>
      </c>
      <c r="G4" s="36" t="s">
        <v>49</v>
      </c>
      <c r="H4" s="36" t="s">
        <v>50</v>
      </c>
      <c r="I4" s="36" t="s">
        <v>51</v>
      </c>
      <c r="J4" s="36" t="s">
        <v>52</v>
      </c>
      <c r="K4" s="36" t="s">
        <v>53</v>
      </c>
      <c r="L4" s="36" t="s">
        <v>54</v>
      </c>
      <c r="M4" s="36" t="s">
        <v>55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2.75" x14ac:dyDescent="0.2">
      <c r="A5" s="37" t="s">
        <v>56</v>
      </c>
      <c r="B5" s="38" t="e">
        <f>#REF!</f>
        <v>#REF!</v>
      </c>
      <c r="C5" s="38" t="e">
        <f>#REF!</f>
        <v>#REF!</v>
      </c>
      <c r="D5" s="38" t="e">
        <f>#REF!</f>
        <v>#REF!</v>
      </c>
      <c r="E5" s="38" t="e">
        <f>#REF!</f>
        <v>#REF!</v>
      </c>
      <c r="F5" s="38" t="e">
        <f>#REF!</f>
        <v>#REF!</v>
      </c>
      <c r="G5" s="38" t="e">
        <f>#REF!</f>
        <v>#REF!</v>
      </c>
      <c r="H5" s="38" t="e">
        <f>#REF!</f>
        <v>#REF!</v>
      </c>
      <c r="I5" s="38" t="e">
        <f>#REF!</f>
        <v>#REF!</v>
      </c>
      <c r="J5" s="38" t="e">
        <f>#REF!</f>
        <v>#REF!</v>
      </c>
      <c r="K5" s="38" t="e">
        <f>#REF!</f>
        <v>#REF!</v>
      </c>
      <c r="L5" s="38" t="e">
        <f>#REF!</f>
        <v>#REF!</v>
      </c>
      <c r="M5" s="38" t="e">
        <f>#REF!</f>
        <v>#REF!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.75" x14ac:dyDescent="0.2">
      <c r="A6" s="37" t="s">
        <v>57</v>
      </c>
      <c r="B6" s="39" t="e">
        <f>#REF!</f>
        <v>#REF!</v>
      </c>
      <c r="C6" s="39" t="e">
        <f>#REF!</f>
        <v>#REF!</v>
      </c>
      <c r="D6" s="39" t="e">
        <f>#REF!</f>
        <v>#REF!</v>
      </c>
      <c r="E6" s="39" t="e">
        <f>#REF!</f>
        <v>#REF!</v>
      </c>
      <c r="F6" s="39" t="e">
        <f>#REF!</f>
        <v>#REF!</v>
      </c>
      <c r="G6" s="39" t="e">
        <f>#REF!</f>
        <v>#REF!</v>
      </c>
      <c r="H6" s="39" t="e">
        <f>#REF!</f>
        <v>#REF!</v>
      </c>
      <c r="I6" s="39" t="e">
        <f>#REF!</f>
        <v>#REF!</v>
      </c>
      <c r="J6" s="39" t="e">
        <f>#REF!</f>
        <v>#REF!</v>
      </c>
      <c r="K6" s="39" t="e">
        <f>#REF!</f>
        <v>#REF!</v>
      </c>
      <c r="L6" s="39" t="e">
        <f>#REF!</f>
        <v>#REF!</v>
      </c>
      <c r="M6" s="39" t="e">
        <f>#REF!</f>
        <v>#REF!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2.75" x14ac:dyDescent="0.2">
      <c r="A7" s="37" t="s">
        <v>21</v>
      </c>
      <c r="B7" s="39" t="e">
        <f>SUM(B6:M6)</f>
        <v>#REF!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x14ac:dyDescent="0.2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2.75" x14ac:dyDescent="0.2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2.75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2.75" x14ac:dyDescent="0.2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2.75" x14ac:dyDescent="0.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2.75" x14ac:dyDescent="0.2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2.75" x14ac:dyDescent="0.2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2.75" x14ac:dyDescent="0.2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2.75" x14ac:dyDescent="0.2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2.75" x14ac:dyDescent="0.2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2.75" x14ac:dyDescent="0.2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2.75" x14ac:dyDescent="0.2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2.75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2.75" x14ac:dyDescent="0.2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2.75" x14ac:dyDescent="0.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2.75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2.75" x14ac:dyDescent="0.2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" x14ac:dyDescent="0.25">
      <c r="A25" s="34" t="s">
        <v>58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" x14ac:dyDescent="0.25">
      <c r="A26" s="36" t="s">
        <v>43</v>
      </c>
      <c r="B26" s="36" t="s">
        <v>44</v>
      </c>
      <c r="C26" s="36" t="s">
        <v>45</v>
      </c>
      <c r="D26" s="36" t="s">
        <v>46</v>
      </c>
      <c r="E26" s="36" t="s">
        <v>47</v>
      </c>
      <c r="F26" s="36" t="s">
        <v>48</v>
      </c>
      <c r="G26" s="36" t="s">
        <v>49</v>
      </c>
      <c r="H26" s="36" t="s">
        <v>50</v>
      </c>
      <c r="I26" s="36" t="s">
        <v>51</v>
      </c>
      <c r="J26" s="36" t="s">
        <v>52</v>
      </c>
      <c r="K26" s="36" t="s">
        <v>53</v>
      </c>
      <c r="L26" s="36" t="s">
        <v>54</v>
      </c>
      <c r="M26" s="36" t="s">
        <v>55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2.75" x14ac:dyDescent="0.2">
      <c r="A27" s="37" t="s">
        <v>56</v>
      </c>
      <c r="B27" s="38" t="e">
        <f>#REF!</f>
        <v>#REF!</v>
      </c>
      <c r="C27" s="38" t="e">
        <f>#REF!</f>
        <v>#REF!</v>
      </c>
      <c r="D27" s="38" t="e">
        <f>#REF!</f>
        <v>#REF!</v>
      </c>
      <c r="E27" s="38" t="e">
        <f>#REF!</f>
        <v>#REF!</v>
      </c>
      <c r="F27" s="38" t="e">
        <f>#REF!</f>
        <v>#REF!</v>
      </c>
      <c r="G27" s="38" t="e">
        <f>#REF!</f>
        <v>#REF!</v>
      </c>
      <c r="H27" s="38" t="e">
        <f>#REF!</f>
        <v>#REF!</v>
      </c>
      <c r="I27" s="38" t="e">
        <f>#REF!</f>
        <v>#REF!</v>
      </c>
      <c r="J27" s="38" t="e">
        <f>#REF!</f>
        <v>#REF!</v>
      </c>
      <c r="K27" s="38" t="e">
        <f>#REF!</f>
        <v>#REF!</v>
      </c>
      <c r="L27" s="38" t="e">
        <f>#REF!</f>
        <v>#REF!</v>
      </c>
      <c r="M27" s="38" t="e">
        <f>#REF!</f>
        <v>#REF!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2.75" x14ac:dyDescent="0.2">
      <c r="A28" s="37" t="s">
        <v>57</v>
      </c>
      <c r="B28" s="39" t="e">
        <f>#REF!</f>
        <v>#REF!</v>
      </c>
      <c r="C28" s="39" t="e">
        <f>#REF!</f>
        <v>#REF!</v>
      </c>
      <c r="D28" s="39" t="e">
        <f>#REF!</f>
        <v>#REF!</v>
      </c>
      <c r="E28" s="39" t="e">
        <f>#REF!</f>
        <v>#REF!</v>
      </c>
      <c r="F28" s="39" t="e">
        <f>#REF!</f>
        <v>#REF!</v>
      </c>
      <c r="G28" s="39" t="e">
        <f>#REF!</f>
        <v>#REF!</v>
      </c>
      <c r="H28" s="39" t="e">
        <f>#REF!</f>
        <v>#REF!</v>
      </c>
      <c r="I28" s="39" t="e">
        <f>#REF!</f>
        <v>#REF!</v>
      </c>
      <c r="J28" s="39" t="e">
        <f>#REF!</f>
        <v>#REF!</v>
      </c>
      <c r="K28" s="39" t="e">
        <f>#REF!</f>
        <v>#REF!</v>
      </c>
      <c r="L28" s="39" t="e">
        <f>#REF!</f>
        <v>#REF!</v>
      </c>
      <c r="M28" s="39" t="e">
        <f>#REF!</f>
        <v>#REF!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2.75" x14ac:dyDescent="0.2">
      <c r="A29" s="37" t="s">
        <v>21</v>
      </c>
      <c r="B29" s="40" t="e">
        <f>SUM(B28:M28)</f>
        <v>#REF!</v>
      </c>
      <c r="C29" s="41" t="e">
        <f>(B29/B7)*100%</f>
        <v>#REF!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2.75" x14ac:dyDescent="0.2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2.75" x14ac:dyDescent="0.2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2.75" x14ac:dyDescent="0.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2.75" x14ac:dyDescent="0.2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2.75" x14ac:dyDescent="0.2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2.75" x14ac:dyDescent="0.2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2.75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2.75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.75" x14ac:dyDescent="0.2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2.75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.75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.75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.75" x14ac:dyDescent="0.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.75" x14ac:dyDescent="0.2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.75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.75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.75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" x14ac:dyDescent="0.25">
      <c r="A47" s="34" t="s">
        <v>61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" x14ac:dyDescent="0.25">
      <c r="A48" s="36" t="s">
        <v>43</v>
      </c>
      <c r="B48" s="36" t="s">
        <v>44</v>
      </c>
      <c r="C48" s="36" t="s">
        <v>45</v>
      </c>
      <c r="D48" s="36" t="s">
        <v>46</v>
      </c>
      <c r="E48" s="36" t="s">
        <v>47</v>
      </c>
      <c r="F48" s="36" t="s">
        <v>48</v>
      </c>
      <c r="G48" s="36" t="s">
        <v>49</v>
      </c>
      <c r="H48" s="36" t="s">
        <v>50</v>
      </c>
      <c r="I48" s="36" t="s">
        <v>51</v>
      </c>
      <c r="J48" s="36" t="s">
        <v>52</v>
      </c>
      <c r="K48" s="36" t="s">
        <v>53</v>
      </c>
      <c r="L48" s="36" t="s">
        <v>54</v>
      </c>
      <c r="M48" s="36" t="s">
        <v>55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75" x14ac:dyDescent="0.2">
      <c r="A49" s="37" t="s">
        <v>56</v>
      </c>
      <c r="B49" s="38" t="e">
        <f>#REF!</f>
        <v>#REF!</v>
      </c>
      <c r="C49" s="38" t="e">
        <f>#REF!</f>
        <v>#REF!</v>
      </c>
      <c r="D49" s="38" t="e">
        <f>#REF!</f>
        <v>#REF!</v>
      </c>
      <c r="E49" s="38" t="e">
        <f>#REF!</f>
        <v>#REF!</v>
      </c>
      <c r="F49" s="38" t="e">
        <f>#REF!</f>
        <v>#REF!</v>
      </c>
      <c r="G49" s="38" t="e">
        <f>#REF!</f>
        <v>#REF!</v>
      </c>
      <c r="H49" s="38" t="e">
        <f>#REF!</f>
        <v>#REF!</v>
      </c>
      <c r="I49" s="38" t="e">
        <f>#REF!</f>
        <v>#REF!</v>
      </c>
      <c r="J49" s="38" t="e">
        <f>#REF!</f>
        <v>#REF!</v>
      </c>
      <c r="K49" s="38" t="e">
        <f>#REF!</f>
        <v>#REF!</v>
      </c>
      <c r="L49" s="38" t="e">
        <f>#REF!</f>
        <v>#REF!</v>
      </c>
      <c r="M49" s="38" t="e">
        <f>#REF!</f>
        <v>#REF!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75" x14ac:dyDescent="0.2">
      <c r="A50" s="37" t="s">
        <v>57</v>
      </c>
      <c r="B50" s="39" t="e">
        <f>#REF!</f>
        <v>#REF!</v>
      </c>
      <c r="C50" s="39" t="e">
        <f>#REF!</f>
        <v>#REF!</v>
      </c>
      <c r="D50" s="39" t="e">
        <f>#REF!</f>
        <v>#REF!</v>
      </c>
      <c r="E50" s="39" t="e">
        <f>#REF!</f>
        <v>#REF!</v>
      </c>
      <c r="F50" s="39" t="e">
        <f>#REF!</f>
        <v>#REF!</v>
      </c>
      <c r="G50" s="39" t="e">
        <f>#REF!</f>
        <v>#REF!</v>
      </c>
      <c r="H50" s="39" t="e">
        <f>#REF!</f>
        <v>#REF!</v>
      </c>
      <c r="I50" s="39" t="e">
        <f>#REF!</f>
        <v>#REF!</v>
      </c>
      <c r="J50" s="39" t="e">
        <f>#REF!</f>
        <v>#REF!</v>
      </c>
      <c r="K50" s="39" t="e">
        <f>#REF!</f>
        <v>#REF!</v>
      </c>
      <c r="L50" s="39" t="e">
        <f>#REF!</f>
        <v>#REF!</v>
      </c>
      <c r="M50" s="39" t="e">
        <f>#REF!</f>
        <v>#REF!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.75" x14ac:dyDescent="0.2">
      <c r="A51" s="37" t="s">
        <v>21</v>
      </c>
      <c r="B51" s="40" t="e">
        <f>SUM(B50:M50)</f>
        <v>#REF!</v>
      </c>
      <c r="C51" s="41" t="e">
        <f>(B51/B7)*100%</f>
        <v>#REF!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.75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.75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.75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.75" x14ac:dyDescent="0.2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.75" x14ac:dyDescent="0.2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.75" x14ac:dyDescent="0.2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.75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.75" x14ac:dyDescent="0.2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.75" x14ac:dyDescent="0.2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.75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.75" x14ac:dyDescent="0.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.75" x14ac:dyDescent="0.2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.75" x14ac:dyDescent="0.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.75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.75" x14ac:dyDescent="0.2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.75" x14ac:dyDescent="0.2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.75" x14ac:dyDescent="0.2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" x14ac:dyDescent="0.25">
      <c r="A69" s="34" t="s">
        <v>62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" x14ac:dyDescent="0.25">
      <c r="A70" s="36" t="s">
        <v>43</v>
      </c>
      <c r="B70" s="36" t="s">
        <v>44</v>
      </c>
      <c r="C70" s="36" t="s">
        <v>45</v>
      </c>
      <c r="D70" s="36" t="s">
        <v>46</v>
      </c>
      <c r="E70" s="36" t="s">
        <v>47</v>
      </c>
      <c r="F70" s="36" t="s">
        <v>48</v>
      </c>
      <c r="G70" s="36" t="s">
        <v>49</v>
      </c>
      <c r="H70" s="36" t="s">
        <v>50</v>
      </c>
      <c r="I70" s="36" t="s">
        <v>51</v>
      </c>
      <c r="J70" s="36" t="s">
        <v>52</v>
      </c>
      <c r="K70" s="36" t="s">
        <v>53</v>
      </c>
      <c r="L70" s="36" t="s">
        <v>54</v>
      </c>
      <c r="M70" s="36" t="s">
        <v>55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.75" x14ac:dyDescent="0.2">
      <c r="A71" s="37" t="s">
        <v>56</v>
      </c>
      <c r="B71" s="38" t="e">
        <f>#REF!</f>
        <v>#REF!</v>
      </c>
      <c r="C71" s="38" t="e">
        <f>#REF!</f>
        <v>#REF!</v>
      </c>
      <c r="D71" s="38" t="e">
        <f>#REF!</f>
        <v>#REF!</v>
      </c>
      <c r="E71" s="38" t="e">
        <f>#REF!</f>
        <v>#REF!</v>
      </c>
      <c r="F71" s="38" t="e">
        <f>#REF!</f>
        <v>#REF!</v>
      </c>
      <c r="G71" s="38" t="e">
        <f>#REF!</f>
        <v>#REF!</v>
      </c>
      <c r="H71" s="38" t="e">
        <f>#REF!</f>
        <v>#REF!</v>
      </c>
      <c r="I71" s="38" t="e">
        <f>#REF!</f>
        <v>#REF!</v>
      </c>
      <c r="J71" s="38" t="e">
        <f>#REF!</f>
        <v>#REF!</v>
      </c>
      <c r="K71" s="38" t="e">
        <f>#REF!</f>
        <v>#REF!</v>
      </c>
      <c r="L71" s="38" t="e">
        <f>#REF!</f>
        <v>#REF!</v>
      </c>
      <c r="M71" s="38" t="e">
        <f>#REF!</f>
        <v>#REF!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2.75" x14ac:dyDescent="0.2">
      <c r="A72" s="37" t="s">
        <v>57</v>
      </c>
      <c r="B72" s="39" t="e">
        <f>#REF!</f>
        <v>#REF!</v>
      </c>
      <c r="C72" s="39" t="e">
        <f>#REF!</f>
        <v>#REF!</v>
      </c>
      <c r="D72" s="39" t="e">
        <f>#REF!</f>
        <v>#REF!</v>
      </c>
      <c r="E72" s="39" t="e">
        <f>#REF!</f>
        <v>#REF!</v>
      </c>
      <c r="F72" s="39" t="e">
        <f>#REF!</f>
        <v>#REF!</v>
      </c>
      <c r="G72" s="39" t="e">
        <f>#REF!</f>
        <v>#REF!</v>
      </c>
      <c r="H72" s="39" t="e">
        <f>#REF!</f>
        <v>#REF!</v>
      </c>
      <c r="I72" s="39" t="e">
        <f>#REF!</f>
        <v>#REF!</v>
      </c>
      <c r="J72" s="39" t="e">
        <f>#REF!</f>
        <v>#REF!</v>
      </c>
      <c r="K72" s="39" t="e">
        <f>#REF!</f>
        <v>#REF!</v>
      </c>
      <c r="L72" s="39" t="e">
        <f>#REF!</f>
        <v>#REF!</v>
      </c>
      <c r="M72" s="39" t="e">
        <f>#REF!</f>
        <v>#REF!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.75" x14ac:dyDescent="0.2">
      <c r="A73" s="37" t="s">
        <v>21</v>
      </c>
      <c r="B73" s="39" t="e">
        <f>SUM(B72:M72)</f>
        <v>#REF!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.75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.75" x14ac:dyDescent="0.2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.75" x14ac:dyDescent="0.2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.75" x14ac:dyDescent="0.2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.75" x14ac:dyDescent="0.2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.75" x14ac:dyDescent="0.2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.75" x14ac:dyDescent="0.2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.75" x14ac:dyDescent="0.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.75" x14ac:dyDescent="0.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.75" x14ac:dyDescent="0.2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.75" x14ac:dyDescent="0.2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 x14ac:dyDescent="0.2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x14ac:dyDescent="0.2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75" x14ac:dyDescent="0.2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.75" x14ac:dyDescent="0.2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75" x14ac:dyDescent="0.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75" x14ac:dyDescent="0.2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.75" x14ac:dyDescent="0.2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.75" x14ac:dyDescent="0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.75" x14ac:dyDescent="0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.75" x14ac:dyDescent="0.2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.75" x14ac:dyDescent="0.2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.75" x14ac:dyDescent="0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.75" x14ac:dyDescent="0.2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.75" x14ac:dyDescent="0.2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.75" x14ac:dyDescent="0.2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.75" x14ac:dyDescent="0.2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 x14ac:dyDescent="0.2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x14ac:dyDescent="0.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x14ac:dyDescent="0.2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x14ac:dyDescent="0.2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x14ac:dyDescent="0.2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x14ac:dyDescent="0.2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x14ac:dyDescent="0.2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x14ac:dyDescent="0.2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x14ac:dyDescent="0.2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x14ac:dyDescent="0.2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x14ac:dyDescent="0.2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x14ac:dyDescent="0.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x14ac:dyDescent="0.2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x14ac:dyDescent="0.2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x14ac:dyDescent="0.2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x14ac:dyDescent="0.2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x14ac:dyDescent="0.2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x14ac:dyDescent="0.2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x14ac:dyDescent="0.2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x14ac:dyDescent="0.2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x14ac:dyDescent="0.2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x14ac:dyDescent="0.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x14ac:dyDescent="0.2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x14ac:dyDescent="0.2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x14ac:dyDescent="0.2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x14ac:dyDescent="0.2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x14ac:dyDescent="0.2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x14ac:dyDescent="0.2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x14ac:dyDescent="0.2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x14ac:dyDescent="0.2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x14ac:dyDescent="0.2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x14ac:dyDescent="0.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x14ac:dyDescent="0.2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x14ac:dyDescent="0.2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x14ac:dyDescent="0.2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x14ac:dyDescent="0.2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x14ac:dyDescent="0.2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x14ac:dyDescent="0.2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x14ac:dyDescent="0.2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x14ac:dyDescent="0.2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x14ac:dyDescent="0.2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x14ac:dyDescent="0.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x14ac:dyDescent="0.2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x14ac:dyDescent="0.2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x14ac:dyDescent="0.2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x14ac:dyDescent="0.2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x14ac:dyDescent="0.2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x14ac:dyDescent="0.2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x14ac:dyDescent="0.2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x14ac:dyDescent="0.2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x14ac:dyDescent="0.2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x14ac:dyDescent="0.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x14ac:dyDescent="0.2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x14ac:dyDescent="0.2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x14ac:dyDescent="0.2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x14ac:dyDescent="0.2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x14ac:dyDescent="0.2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x14ac:dyDescent="0.2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x14ac:dyDescent="0.2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x14ac:dyDescent="0.2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x14ac:dyDescent="0.2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x14ac:dyDescent="0.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x14ac:dyDescent="0.2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x14ac:dyDescent="0.2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x14ac:dyDescent="0.2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x14ac:dyDescent="0.2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x14ac:dyDescent="0.2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x14ac:dyDescent="0.2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x14ac:dyDescent="0.2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x14ac:dyDescent="0.2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x14ac:dyDescent="0.2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x14ac:dyDescent="0.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x14ac:dyDescent="0.2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x14ac:dyDescent="0.2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x14ac:dyDescent="0.2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x14ac:dyDescent="0.2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x14ac:dyDescent="0.2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x14ac:dyDescent="0.2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x14ac:dyDescent="0.2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x14ac:dyDescent="0.2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x14ac:dyDescent="0.2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x14ac:dyDescent="0.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x14ac:dyDescent="0.2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x14ac:dyDescent="0.2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x14ac:dyDescent="0.2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x14ac:dyDescent="0.2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x14ac:dyDescent="0.2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x14ac:dyDescent="0.2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x14ac:dyDescent="0.2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x14ac:dyDescent="0.2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x14ac:dyDescent="0.2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x14ac:dyDescent="0.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x14ac:dyDescent="0.2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x14ac:dyDescent="0.2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x14ac:dyDescent="0.2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x14ac:dyDescent="0.2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x14ac:dyDescent="0.2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x14ac:dyDescent="0.2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x14ac:dyDescent="0.2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x14ac:dyDescent="0.2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x14ac:dyDescent="0.2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x14ac:dyDescent="0.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x14ac:dyDescent="0.2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x14ac:dyDescent="0.2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x14ac:dyDescent="0.2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x14ac:dyDescent="0.2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x14ac:dyDescent="0.2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x14ac:dyDescent="0.2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x14ac:dyDescent="0.2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x14ac:dyDescent="0.2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x14ac:dyDescent="0.2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x14ac:dyDescent="0.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x14ac:dyDescent="0.2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x14ac:dyDescent="0.2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x14ac:dyDescent="0.2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x14ac:dyDescent="0.2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x14ac:dyDescent="0.2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x14ac:dyDescent="0.2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x14ac:dyDescent="0.2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x14ac:dyDescent="0.2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x14ac:dyDescent="0.2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x14ac:dyDescent="0.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x14ac:dyDescent="0.2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x14ac:dyDescent="0.2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x14ac:dyDescent="0.2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x14ac:dyDescent="0.2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x14ac:dyDescent="0.2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x14ac:dyDescent="0.2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x14ac:dyDescent="0.2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x14ac:dyDescent="0.2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x14ac:dyDescent="0.2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x14ac:dyDescent="0.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x14ac:dyDescent="0.2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x14ac:dyDescent="0.2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x14ac:dyDescent="0.2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x14ac:dyDescent="0.2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x14ac:dyDescent="0.2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x14ac:dyDescent="0.2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x14ac:dyDescent="0.2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x14ac:dyDescent="0.2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x14ac:dyDescent="0.2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x14ac:dyDescent="0.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x14ac:dyDescent="0.2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x14ac:dyDescent="0.2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x14ac:dyDescent="0.2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x14ac:dyDescent="0.2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x14ac:dyDescent="0.2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x14ac:dyDescent="0.2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x14ac:dyDescent="0.2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x14ac:dyDescent="0.2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x14ac:dyDescent="0.2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x14ac:dyDescent="0.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x14ac:dyDescent="0.2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x14ac:dyDescent="0.2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x14ac:dyDescent="0.2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x14ac:dyDescent="0.2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x14ac:dyDescent="0.2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x14ac:dyDescent="0.2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x14ac:dyDescent="0.2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x14ac:dyDescent="0.2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x14ac:dyDescent="0.2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x14ac:dyDescent="0.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x14ac:dyDescent="0.2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x14ac:dyDescent="0.2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x14ac:dyDescent="0.2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x14ac:dyDescent="0.2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x14ac:dyDescent="0.2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x14ac:dyDescent="0.2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x14ac:dyDescent="0.2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x14ac:dyDescent="0.2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x14ac:dyDescent="0.2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x14ac:dyDescent="0.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x14ac:dyDescent="0.2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x14ac:dyDescent="0.2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x14ac:dyDescent="0.2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x14ac:dyDescent="0.2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x14ac:dyDescent="0.2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x14ac:dyDescent="0.2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x14ac:dyDescent="0.2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x14ac:dyDescent="0.2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x14ac:dyDescent="0.2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x14ac:dyDescent="0.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x14ac:dyDescent="0.2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x14ac:dyDescent="0.2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x14ac:dyDescent="0.2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x14ac:dyDescent="0.2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x14ac:dyDescent="0.2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x14ac:dyDescent="0.2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x14ac:dyDescent="0.2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x14ac:dyDescent="0.2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x14ac:dyDescent="0.2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x14ac:dyDescent="0.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x14ac:dyDescent="0.2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x14ac:dyDescent="0.2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x14ac:dyDescent="0.2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x14ac:dyDescent="0.2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x14ac:dyDescent="0.2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x14ac:dyDescent="0.2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x14ac:dyDescent="0.2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x14ac:dyDescent="0.2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x14ac:dyDescent="0.2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x14ac:dyDescent="0.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x14ac:dyDescent="0.2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x14ac:dyDescent="0.2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x14ac:dyDescent="0.2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x14ac:dyDescent="0.2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x14ac:dyDescent="0.2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x14ac:dyDescent="0.2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x14ac:dyDescent="0.2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x14ac:dyDescent="0.2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x14ac:dyDescent="0.2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x14ac:dyDescent="0.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x14ac:dyDescent="0.2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x14ac:dyDescent="0.2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x14ac:dyDescent="0.2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x14ac:dyDescent="0.2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x14ac:dyDescent="0.2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x14ac:dyDescent="0.2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x14ac:dyDescent="0.2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x14ac:dyDescent="0.2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x14ac:dyDescent="0.2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x14ac:dyDescent="0.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x14ac:dyDescent="0.2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x14ac:dyDescent="0.2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x14ac:dyDescent="0.2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x14ac:dyDescent="0.2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x14ac:dyDescent="0.2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x14ac:dyDescent="0.2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x14ac:dyDescent="0.2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x14ac:dyDescent="0.2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x14ac:dyDescent="0.2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x14ac:dyDescent="0.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x14ac:dyDescent="0.2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x14ac:dyDescent="0.2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x14ac:dyDescent="0.2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x14ac:dyDescent="0.2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x14ac:dyDescent="0.2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x14ac:dyDescent="0.2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x14ac:dyDescent="0.2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x14ac:dyDescent="0.2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x14ac:dyDescent="0.2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x14ac:dyDescent="0.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x14ac:dyDescent="0.2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x14ac:dyDescent="0.2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x14ac:dyDescent="0.2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x14ac:dyDescent="0.2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x14ac:dyDescent="0.2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x14ac:dyDescent="0.2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x14ac:dyDescent="0.2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x14ac:dyDescent="0.2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x14ac:dyDescent="0.2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x14ac:dyDescent="0.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x14ac:dyDescent="0.2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x14ac:dyDescent="0.2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x14ac:dyDescent="0.2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x14ac:dyDescent="0.2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x14ac:dyDescent="0.2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x14ac:dyDescent="0.2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x14ac:dyDescent="0.2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x14ac:dyDescent="0.2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x14ac:dyDescent="0.2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x14ac:dyDescent="0.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x14ac:dyDescent="0.2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x14ac:dyDescent="0.2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x14ac:dyDescent="0.2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x14ac:dyDescent="0.2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x14ac:dyDescent="0.2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x14ac:dyDescent="0.2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x14ac:dyDescent="0.2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x14ac:dyDescent="0.2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x14ac:dyDescent="0.2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x14ac:dyDescent="0.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x14ac:dyDescent="0.2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x14ac:dyDescent="0.2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x14ac:dyDescent="0.2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x14ac:dyDescent="0.2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x14ac:dyDescent="0.2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x14ac:dyDescent="0.2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x14ac:dyDescent="0.2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x14ac:dyDescent="0.2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x14ac:dyDescent="0.2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x14ac:dyDescent="0.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x14ac:dyDescent="0.2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x14ac:dyDescent="0.2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x14ac:dyDescent="0.2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x14ac:dyDescent="0.2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x14ac:dyDescent="0.2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x14ac:dyDescent="0.2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x14ac:dyDescent="0.2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x14ac:dyDescent="0.2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x14ac:dyDescent="0.2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x14ac:dyDescent="0.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x14ac:dyDescent="0.2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x14ac:dyDescent="0.2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x14ac:dyDescent="0.2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x14ac:dyDescent="0.2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x14ac:dyDescent="0.2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x14ac:dyDescent="0.2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x14ac:dyDescent="0.2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x14ac:dyDescent="0.2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x14ac:dyDescent="0.2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x14ac:dyDescent="0.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x14ac:dyDescent="0.2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x14ac:dyDescent="0.2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x14ac:dyDescent="0.2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x14ac:dyDescent="0.2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x14ac:dyDescent="0.2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x14ac:dyDescent="0.2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x14ac:dyDescent="0.2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x14ac:dyDescent="0.2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x14ac:dyDescent="0.2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x14ac:dyDescent="0.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x14ac:dyDescent="0.2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x14ac:dyDescent="0.2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x14ac:dyDescent="0.2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x14ac:dyDescent="0.2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x14ac:dyDescent="0.2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x14ac:dyDescent="0.2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x14ac:dyDescent="0.2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x14ac:dyDescent="0.2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x14ac:dyDescent="0.2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x14ac:dyDescent="0.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x14ac:dyDescent="0.2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x14ac:dyDescent="0.2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x14ac:dyDescent="0.2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x14ac:dyDescent="0.2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x14ac:dyDescent="0.2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x14ac:dyDescent="0.2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x14ac:dyDescent="0.2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x14ac:dyDescent="0.2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x14ac:dyDescent="0.2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x14ac:dyDescent="0.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x14ac:dyDescent="0.2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x14ac:dyDescent="0.2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x14ac:dyDescent="0.2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x14ac:dyDescent="0.2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x14ac:dyDescent="0.2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x14ac:dyDescent="0.2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x14ac:dyDescent="0.2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x14ac:dyDescent="0.2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x14ac:dyDescent="0.2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x14ac:dyDescent="0.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x14ac:dyDescent="0.2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x14ac:dyDescent="0.2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x14ac:dyDescent="0.2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x14ac:dyDescent="0.2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x14ac:dyDescent="0.2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x14ac:dyDescent="0.2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x14ac:dyDescent="0.2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x14ac:dyDescent="0.2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x14ac:dyDescent="0.2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x14ac:dyDescent="0.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x14ac:dyDescent="0.2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x14ac:dyDescent="0.2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x14ac:dyDescent="0.2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x14ac:dyDescent="0.2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x14ac:dyDescent="0.2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x14ac:dyDescent="0.2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x14ac:dyDescent="0.2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x14ac:dyDescent="0.2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x14ac:dyDescent="0.2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x14ac:dyDescent="0.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x14ac:dyDescent="0.2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x14ac:dyDescent="0.2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x14ac:dyDescent="0.2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x14ac:dyDescent="0.2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x14ac:dyDescent="0.2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x14ac:dyDescent="0.2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x14ac:dyDescent="0.2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x14ac:dyDescent="0.2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x14ac:dyDescent="0.2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x14ac:dyDescent="0.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x14ac:dyDescent="0.2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x14ac:dyDescent="0.2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x14ac:dyDescent="0.2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x14ac:dyDescent="0.2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x14ac:dyDescent="0.2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x14ac:dyDescent="0.2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x14ac:dyDescent="0.2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x14ac:dyDescent="0.2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x14ac:dyDescent="0.2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x14ac:dyDescent="0.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x14ac:dyDescent="0.2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x14ac:dyDescent="0.2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x14ac:dyDescent="0.2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x14ac:dyDescent="0.2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x14ac:dyDescent="0.2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x14ac:dyDescent="0.2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x14ac:dyDescent="0.2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x14ac:dyDescent="0.2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x14ac:dyDescent="0.2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x14ac:dyDescent="0.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x14ac:dyDescent="0.2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x14ac:dyDescent="0.2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x14ac:dyDescent="0.2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x14ac:dyDescent="0.2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x14ac:dyDescent="0.2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x14ac:dyDescent="0.2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x14ac:dyDescent="0.2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x14ac:dyDescent="0.2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x14ac:dyDescent="0.2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x14ac:dyDescent="0.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x14ac:dyDescent="0.2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x14ac:dyDescent="0.2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x14ac:dyDescent="0.2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x14ac:dyDescent="0.2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x14ac:dyDescent="0.2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x14ac:dyDescent="0.2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x14ac:dyDescent="0.2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x14ac:dyDescent="0.2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x14ac:dyDescent="0.2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x14ac:dyDescent="0.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x14ac:dyDescent="0.2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x14ac:dyDescent="0.2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x14ac:dyDescent="0.2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x14ac:dyDescent="0.2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x14ac:dyDescent="0.2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x14ac:dyDescent="0.2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x14ac:dyDescent="0.2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x14ac:dyDescent="0.2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x14ac:dyDescent="0.2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x14ac:dyDescent="0.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x14ac:dyDescent="0.2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x14ac:dyDescent="0.2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x14ac:dyDescent="0.2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x14ac:dyDescent="0.2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x14ac:dyDescent="0.2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x14ac:dyDescent="0.2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x14ac:dyDescent="0.2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x14ac:dyDescent="0.2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x14ac:dyDescent="0.2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x14ac:dyDescent="0.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x14ac:dyDescent="0.2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x14ac:dyDescent="0.2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x14ac:dyDescent="0.2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x14ac:dyDescent="0.2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x14ac:dyDescent="0.2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x14ac:dyDescent="0.2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x14ac:dyDescent="0.2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x14ac:dyDescent="0.2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x14ac:dyDescent="0.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x14ac:dyDescent="0.2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x14ac:dyDescent="0.2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x14ac:dyDescent="0.2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x14ac:dyDescent="0.2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x14ac:dyDescent="0.2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x14ac:dyDescent="0.2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x14ac:dyDescent="0.2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x14ac:dyDescent="0.2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x14ac:dyDescent="0.2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x14ac:dyDescent="0.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x14ac:dyDescent="0.2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x14ac:dyDescent="0.2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x14ac:dyDescent="0.2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x14ac:dyDescent="0.2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x14ac:dyDescent="0.2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x14ac:dyDescent="0.2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x14ac:dyDescent="0.2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x14ac:dyDescent="0.2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x14ac:dyDescent="0.2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x14ac:dyDescent="0.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x14ac:dyDescent="0.2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x14ac:dyDescent="0.2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x14ac:dyDescent="0.2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x14ac:dyDescent="0.2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x14ac:dyDescent="0.2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x14ac:dyDescent="0.2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x14ac:dyDescent="0.2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x14ac:dyDescent="0.2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x14ac:dyDescent="0.2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x14ac:dyDescent="0.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x14ac:dyDescent="0.2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x14ac:dyDescent="0.2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x14ac:dyDescent="0.2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x14ac:dyDescent="0.2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x14ac:dyDescent="0.2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x14ac:dyDescent="0.2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x14ac:dyDescent="0.2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x14ac:dyDescent="0.2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x14ac:dyDescent="0.2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x14ac:dyDescent="0.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x14ac:dyDescent="0.2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x14ac:dyDescent="0.2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x14ac:dyDescent="0.2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x14ac:dyDescent="0.2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x14ac:dyDescent="0.2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x14ac:dyDescent="0.2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x14ac:dyDescent="0.2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x14ac:dyDescent="0.2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x14ac:dyDescent="0.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x14ac:dyDescent="0.2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x14ac:dyDescent="0.2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x14ac:dyDescent="0.2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x14ac:dyDescent="0.2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x14ac:dyDescent="0.2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x14ac:dyDescent="0.2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x14ac:dyDescent="0.2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x14ac:dyDescent="0.2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x14ac:dyDescent="0.2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x14ac:dyDescent="0.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x14ac:dyDescent="0.2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x14ac:dyDescent="0.2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x14ac:dyDescent="0.2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x14ac:dyDescent="0.2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x14ac:dyDescent="0.2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x14ac:dyDescent="0.2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x14ac:dyDescent="0.2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x14ac:dyDescent="0.2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x14ac:dyDescent="0.2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x14ac:dyDescent="0.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x14ac:dyDescent="0.2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x14ac:dyDescent="0.2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x14ac:dyDescent="0.2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x14ac:dyDescent="0.2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x14ac:dyDescent="0.2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x14ac:dyDescent="0.2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x14ac:dyDescent="0.2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x14ac:dyDescent="0.2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x14ac:dyDescent="0.2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x14ac:dyDescent="0.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x14ac:dyDescent="0.2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x14ac:dyDescent="0.2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x14ac:dyDescent="0.2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x14ac:dyDescent="0.2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x14ac:dyDescent="0.2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x14ac:dyDescent="0.2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x14ac:dyDescent="0.2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x14ac:dyDescent="0.2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x14ac:dyDescent="0.2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x14ac:dyDescent="0.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x14ac:dyDescent="0.2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x14ac:dyDescent="0.2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x14ac:dyDescent="0.2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x14ac:dyDescent="0.2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x14ac:dyDescent="0.2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x14ac:dyDescent="0.2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x14ac:dyDescent="0.2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x14ac:dyDescent="0.2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x14ac:dyDescent="0.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x14ac:dyDescent="0.2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x14ac:dyDescent="0.2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x14ac:dyDescent="0.2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x14ac:dyDescent="0.2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x14ac:dyDescent="0.2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x14ac:dyDescent="0.2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x14ac:dyDescent="0.2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x14ac:dyDescent="0.2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x14ac:dyDescent="0.2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x14ac:dyDescent="0.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x14ac:dyDescent="0.2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x14ac:dyDescent="0.2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x14ac:dyDescent="0.2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x14ac:dyDescent="0.2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x14ac:dyDescent="0.2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x14ac:dyDescent="0.2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x14ac:dyDescent="0.2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x14ac:dyDescent="0.2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x14ac:dyDescent="0.2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x14ac:dyDescent="0.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x14ac:dyDescent="0.2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x14ac:dyDescent="0.2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x14ac:dyDescent="0.2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x14ac:dyDescent="0.2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x14ac:dyDescent="0.2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x14ac:dyDescent="0.2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x14ac:dyDescent="0.2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x14ac:dyDescent="0.2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x14ac:dyDescent="0.2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x14ac:dyDescent="0.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x14ac:dyDescent="0.2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x14ac:dyDescent="0.2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x14ac:dyDescent="0.2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x14ac:dyDescent="0.2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x14ac:dyDescent="0.2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x14ac:dyDescent="0.2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x14ac:dyDescent="0.2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x14ac:dyDescent="0.2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x14ac:dyDescent="0.2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x14ac:dyDescent="0.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x14ac:dyDescent="0.2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x14ac:dyDescent="0.2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x14ac:dyDescent="0.2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x14ac:dyDescent="0.2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x14ac:dyDescent="0.2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x14ac:dyDescent="0.2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x14ac:dyDescent="0.2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x14ac:dyDescent="0.2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x14ac:dyDescent="0.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x14ac:dyDescent="0.2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x14ac:dyDescent="0.2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x14ac:dyDescent="0.2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x14ac:dyDescent="0.2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x14ac:dyDescent="0.2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x14ac:dyDescent="0.2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x14ac:dyDescent="0.2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x14ac:dyDescent="0.2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x14ac:dyDescent="0.2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x14ac:dyDescent="0.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x14ac:dyDescent="0.2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x14ac:dyDescent="0.2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x14ac:dyDescent="0.2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x14ac:dyDescent="0.2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x14ac:dyDescent="0.2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x14ac:dyDescent="0.2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x14ac:dyDescent="0.2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x14ac:dyDescent="0.2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x14ac:dyDescent="0.2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x14ac:dyDescent="0.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x14ac:dyDescent="0.2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x14ac:dyDescent="0.2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x14ac:dyDescent="0.2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x14ac:dyDescent="0.2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x14ac:dyDescent="0.2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x14ac:dyDescent="0.2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x14ac:dyDescent="0.2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x14ac:dyDescent="0.2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x14ac:dyDescent="0.2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x14ac:dyDescent="0.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x14ac:dyDescent="0.2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x14ac:dyDescent="0.2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x14ac:dyDescent="0.2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x14ac:dyDescent="0.2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x14ac:dyDescent="0.2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x14ac:dyDescent="0.2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x14ac:dyDescent="0.2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x14ac:dyDescent="0.2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x14ac:dyDescent="0.2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x14ac:dyDescent="0.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x14ac:dyDescent="0.2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x14ac:dyDescent="0.2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x14ac:dyDescent="0.2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x14ac:dyDescent="0.2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x14ac:dyDescent="0.2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x14ac:dyDescent="0.2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x14ac:dyDescent="0.2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x14ac:dyDescent="0.2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x14ac:dyDescent="0.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x14ac:dyDescent="0.2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x14ac:dyDescent="0.2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x14ac:dyDescent="0.2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x14ac:dyDescent="0.2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x14ac:dyDescent="0.2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x14ac:dyDescent="0.2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x14ac:dyDescent="0.2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x14ac:dyDescent="0.2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x14ac:dyDescent="0.2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x14ac:dyDescent="0.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x14ac:dyDescent="0.2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x14ac:dyDescent="0.2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x14ac:dyDescent="0.2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x14ac:dyDescent="0.2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x14ac:dyDescent="0.2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x14ac:dyDescent="0.2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x14ac:dyDescent="0.2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x14ac:dyDescent="0.2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x14ac:dyDescent="0.2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x14ac:dyDescent="0.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x14ac:dyDescent="0.2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x14ac:dyDescent="0.2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x14ac:dyDescent="0.2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x14ac:dyDescent="0.2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x14ac:dyDescent="0.2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x14ac:dyDescent="0.2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x14ac:dyDescent="0.2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x14ac:dyDescent="0.2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x14ac:dyDescent="0.2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x14ac:dyDescent="0.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x14ac:dyDescent="0.2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x14ac:dyDescent="0.2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x14ac:dyDescent="0.2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x14ac:dyDescent="0.2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x14ac:dyDescent="0.2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x14ac:dyDescent="0.2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x14ac:dyDescent="0.2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x14ac:dyDescent="0.2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x14ac:dyDescent="0.2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x14ac:dyDescent="0.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x14ac:dyDescent="0.2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x14ac:dyDescent="0.2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x14ac:dyDescent="0.2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x14ac:dyDescent="0.2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x14ac:dyDescent="0.2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x14ac:dyDescent="0.2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x14ac:dyDescent="0.2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x14ac:dyDescent="0.2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x14ac:dyDescent="0.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x14ac:dyDescent="0.2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x14ac:dyDescent="0.2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x14ac:dyDescent="0.2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x14ac:dyDescent="0.2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x14ac:dyDescent="0.2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x14ac:dyDescent="0.2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x14ac:dyDescent="0.2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x14ac:dyDescent="0.2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x14ac:dyDescent="0.2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x14ac:dyDescent="0.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x14ac:dyDescent="0.2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x14ac:dyDescent="0.2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x14ac:dyDescent="0.2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x14ac:dyDescent="0.2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x14ac:dyDescent="0.2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x14ac:dyDescent="0.2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x14ac:dyDescent="0.2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x14ac:dyDescent="0.2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x14ac:dyDescent="0.2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x14ac:dyDescent="0.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x14ac:dyDescent="0.2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x14ac:dyDescent="0.2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x14ac:dyDescent="0.2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x14ac:dyDescent="0.2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x14ac:dyDescent="0.2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x14ac:dyDescent="0.2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x14ac:dyDescent="0.2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x14ac:dyDescent="0.2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x14ac:dyDescent="0.2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x14ac:dyDescent="0.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x14ac:dyDescent="0.2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x14ac:dyDescent="0.2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x14ac:dyDescent="0.2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x14ac:dyDescent="0.2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x14ac:dyDescent="0.2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x14ac:dyDescent="0.2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x14ac:dyDescent="0.2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x14ac:dyDescent="0.2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x14ac:dyDescent="0.2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x14ac:dyDescent="0.2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x14ac:dyDescent="0.2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x14ac:dyDescent="0.2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x14ac:dyDescent="0.2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x14ac:dyDescent="0.2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x14ac:dyDescent="0.2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x14ac:dyDescent="0.2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x14ac:dyDescent="0.2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x14ac:dyDescent="0.2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x14ac:dyDescent="0.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x14ac:dyDescent="0.2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x14ac:dyDescent="0.2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x14ac:dyDescent="0.2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x14ac:dyDescent="0.2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x14ac:dyDescent="0.2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x14ac:dyDescent="0.2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x14ac:dyDescent="0.2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x14ac:dyDescent="0.2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x14ac:dyDescent="0.2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x14ac:dyDescent="0.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x14ac:dyDescent="0.2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x14ac:dyDescent="0.2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x14ac:dyDescent="0.2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x14ac:dyDescent="0.2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x14ac:dyDescent="0.2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x14ac:dyDescent="0.2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x14ac:dyDescent="0.2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x14ac:dyDescent="0.2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x14ac:dyDescent="0.2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x14ac:dyDescent="0.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x14ac:dyDescent="0.2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x14ac:dyDescent="0.2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x14ac:dyDescent="0.2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x14ac:dyDescent="0.2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x14ac:dyDescent="0.2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x14ac:dyDescent="0.2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x14ac:dyDescent="0.2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x14ac:dyDescent="0.2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x14ac:dyDescent="0.2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x14ac:dyDescent="0.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x14ac:dyDescent="0.2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x14ac:dyDescent="0.2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x14ac:dyDescent="0.2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x14ac:dyDescent="0.2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x14ac:dyDescent="0.2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x14ac:dyDescent="0.2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x14ac:dyDescent="0.2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x14ac:dyDescent="0.2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x14ac:dyDescent="0.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x14ac:dyDescent="0.2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x14ac:dyDescent="0.2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x14ac:dyDescent="0.2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x14ac:dyDescent="0.2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x14ac:dyDescent="0.2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x14ac:dyDescent="0.2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x14ac:dyDescent="0.2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x14ac:dyDescent="0.2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x14ac:dyDescent="0.2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x14ac:dyDescent="0.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x14ac:dyDescent="0.2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x14ac:dyDescent="0.2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x14ac:dyDescent="0.2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x14ac:dyDescent="0.2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x14ac:dyDescent="0.2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x14ac:dyDescent="0.2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x14ac:dyDescent="0.2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x14ac:dyDescent="0.2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x14ac:dyDescent="0.2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x14ac:dyDescent="0.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x14ac:dyDescent="0.2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x14ac:dyDescent="0.2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x14ac:dyDescent="0.2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x14ac:dyDescent="0.2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x14ac:dyDescent="0.2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x14ac:dyDescent="0.2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x14ac:dyDescent="0.2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x14ac:dyDescent="0.2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x14ac:dyDescent="0.2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x14ac:dyDescent="0.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x14ac:dyDescent="0.2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x14ac:dyDescent="0.2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x14ac:dyDescent="0.2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x14ac:dyDescent="0.2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x14ac:dyDescent="0.2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x14ac:dyDescent="0.2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x14ac:dyDescent="0.2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x14ac:dyDescent="0.2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x14ac:dyDescent="0.2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x14ac:dyDescent="0.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x14ac:dyDescent="0.2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x14ac:dyDescent="0.2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x14ac:dyDescent="0.2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x14ac:dyDescent="0.2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x14ac:dyDescent="0.2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x14ac:dyDescent="0.2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x14ac:dyDescent="0.2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x14ac:dyDescent="0.2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x14ac:dyDescent="0.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x14ac:dyDescent="0.2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x14ac:dyDescent="0.2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x14ac:dyDescent="0.2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x14ac:dyDescent="0.2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x14ac:dyDescent="0.2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x14ac:dyDescent="0.2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x14ac:dyDescent="0.2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x14ac:dyDescent="0.2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x14ac:dyDescent="0.2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x14ac:dyDescent="0.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x14ac:dyDescent="0.2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x14ac:dyDescent="0.2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x14ac:dyDescent="0.2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x14ac:dyDescent="0.2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x14ac:dyDescent="0.2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x14ac:dyDescent="0.2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x14ac:dyDescent="0.2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x14ac:dyDescent="0.2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x14ac:dyDescent="0.2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x14ac:dyDescent="0.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x14ac:dyDescent="0.2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x14ac:dyDescent="0.2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x14ac:dyDescent="0.2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x14ac:dyDescent="0.2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x14ac:dyDescent="0.2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x14ac:dyDescent="0.2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x14ac:dyDescent="0.2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x14ac:dyDescent="0.2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x14ac:dyDescent="0.2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x14ac:dyDescent="0.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x14ac:dyDescent="0.2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x14ac:dyDescent="0.2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x14ac:dyDescent="0.2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x14ac:dyDescent="0.2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x14ac:dyDescent="0.2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x14ac:dyDescent="0.2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x14ac:dyDescent="0.2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x14ac:dyDescent="0.2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x14ac:dyDescent="0.2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x14ac:dyDescent="0.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x14ac:dyDescent="0.2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x14ac:dyDescent="0.2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x14ac:dyDescent="0.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x14ac:dyDescent="0.2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x14ac:dyDescent="0.2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x14ac:dyDescent="0.2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x14ac:dyDescent="0.2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x14ac:dyDescent="0.2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x14ac:dyDescent="0.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x14ac:dyDescent="0.2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x14ac:dyDescent="0.2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x14ac:dyDescent="0.2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x14ac:dyDescent="0.2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x14ac:dyDescent="0.2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x14ac:dyDescent="0.2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x14ac:dyDescent="0.2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x14ac:dyDescent="0.2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x14ac:dyDescent="0.2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x14ac:dyDescent="0.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x14ac:dyDescent="0.2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x14ac:dyDescent="0.2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x14ac:dyDescent="0.2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x14ac:dyDescent="0.2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x14ac:dyDescent="0.2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x14ac:dyDescent="0.2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x14ac:dyDescent="0.2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x14ac:dyDescent="0.2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Z1000"/>
  <sheetViews>
    <sheetView showGridLines="0" workbookViewId="0"/>
  </sheetViews>
  <sheetFormatPr defaultColWidth="12.5703125" defaultRowHeight="15.75" customHeight="1" x14ac:dyDescent="0.2"/>
  <cols>
    <col min="1" max="1" width="15.7109375" customWidth="1"/>
  </cols>
  <sheetData>
    <row r="1" spans="1:26" ht="15.75" customHeight="1" x14ac:dyDescent="0.25">
      <c r="A1" s="34" t="s">
        <v>70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 x14ac:dyDescent="0.25">
      <c r="A3" s="34" t="s">
        <v>42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 x14ac:dyDescent="0.25">
      <c r="A4" s="36" t="s">
        <v>43</v>
      </c>
      <c r="B4" s="36" t="s">
        <v>44</v>
      </c>
      <c r="C4" s="36" t="s">
        <v>45</v>
      </c>
      <c r="D4" s="36" t="s">
        <v>46</v>
      </c>
      <c r="E4" s="36" t="s">
        <v>47</v>
      </c>
      <c r="F4" s="36" t="s">
        <v>48</v>
      </c>
      <c r="G4" s="36" t="s">
        <v>49</v>
      </c>
      <c r="H4" s="36" t="s">
        <v>50</v>
      </c>
      <c r="I4" s="36" t="s">
        <v>51</v>
      </c>
      <c r="J4" s="36" t="s">
        <v>52</v>
      </c>
      <c r="K4" s="36" t="s">
        <v>53</v>
      </c>
      <c r="L4" s="36" t="s">
        <v>54</v>
      </c>
      <c r="M4" s="36" t="s">
        <v>55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2.75" x14ac:dyDescent="0.2">
      <c r="A5" s="37" t="s">
        <v>56</v>
      </c>
      <c r="B5" s="38" t="e">
        <f>#REF!</f>
        <v>#REF!</v>
      </c>
      <c r="C5" s="38" t="e">
        <f>#REF!</f>
        <v>#REF!</v>
      </c>
      <c r="D5" s="38" t="e">
        <f>#REF!</f>
        <v>#REF!</v>
      </c>
      <c r="E5" s="38" t="e">
        <f>#REF!</f>
        <v>#REF!</v>
      </c>
      <c r="F5" s="38" t="e">
        <f>#REF!</f>
        <v>#REF!</v>
      </c>
      <c r="G5" s="38" t="e">
        <f>#REF!</f>
        <v>#REF!</v>
      </c>
      <c r="H5" s="38" t="e">
        <f>#REF!</f>
        <v>#REF!</v>
      </c>
      <c r="I5" s="38" t="e">
        <f>#REF!</f>
        <v>#REF!</v>
      </c>
      <c r="J5" s="38" t="e">
        <f>#REF!</f>
        <v>#REF!</v>
      </c>
      <c r="K5" s="38" t="e">
        <f>#REF!</f>
        <v>#REF!</v>
      </c>
      <c r="L5" s="38" t="e">
        <f>#REF!</f>
        <v>#REF!</v>
      </c>
      <c r="M5" s="38" t="e">
        <f>#REF!</f>
        <v>#REF!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.75" x14ac:dyDescent="0.2">
      <c r="A6" s="37" t="s">
        <v>57</v>
      </c>
      <c r="B6" s="39" t="e">
        <f>#REF!</f>
        <v>#REF!</v>
      </c>
      <c r="C6" s="39" t="e">
        <f>#REF!</f>
        <v>#REF!</v>
      </c>
      <c r="D6" s="39" t="e">
        <f>#REF!</f>
        <v>#REF!</v>
      </c>
      <c r="E6" s="39" t="e">
        <f>#REF!</f>
        <v>#REF!</v>
      </c>
      <c r="F6" s="39" t="e">
        <f>#REF!</f>
        <v>#REF!</v>
      </c>
      <c r="G6" s="39" t="e">
        <f>#REF!</f>
        <v>#REF!</v>
      </c>
      <c r="H6" s="39" t="e">
        <f>#REF!</f>
        <v>#REF!</v>
      </c>
      <c r="I6" s="39" t="e">
        <f>#REF!</f>
        <v>#REF!</v>
      </c>
      <c r="J6" s="39" t="e">
        <f>#REF!</f>
        <v>#REF!</v>
      </c>
      <c r="K6" s="39" t="e">
        <f>#REF!</f>
        <v>#REF!</v>
      </c>
      <c r="L6" s="39" t="e">
        <f>#REF!</f>
        <v>#REF!</v>
      </c>
      <c r="M6" s="39" t="e">
        <f>#REF!</f>
        <v>#REF!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2.75" x14ac:dyDescent="0.2">
      <c r="A7" s="37" t="s">
        <v>21</v>
      </c>
      <c r="B7" s="39" t="e">
        <f>SUM(B6:M6)</f>
        <v>#REF!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x14ac:dyDescent="0.2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2.75" x14ac:dyDescent="0.2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2.75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2.75" x14ac:dyDescent="0.2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2.75" x14ac:dyDescent="0.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2.75" x14ac:dyDescent="0.2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2.75" x14ac:dyDescent="0.2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2.75" x14ac:dyDescent="0.2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2.75" x14ac:dyDescent="0.2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2.75" x14ac:dyDescent="0.2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2.75" x14ac:dyDescent="0.2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2.75" x14ac:dyDescent="0.2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2.75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2.75" x14ac:dyDescent="0.2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2.75" x14ac:dyDescent="0.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2.75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2.75" x14ac:dyDescent="0.2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" x14ac:dyDescent="0.25">
      <c r="A25" s="34" t="s">
        <v>58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" x14ac:dyDescent="0.25">
      <c r="A26" s="36" t="s">
        <v>43</v>
      </c>
      <c r="B26" s="36" t="s">
        <v>44</v>
      </c>
      <c r="C26" s="36" t="s">
        <v>45</v>
      </c>
      <c r="D26" s="36" t="s">
        <v>46</v>
      </c>
      <c r="E26" s="36" t="s">
        <v>47</v>
      </c>
      <c r="F26" s="36" t="s">
        <v>48</v>
      </c>
      <c r="G26" s="36" t="s">
        <v>49</v>
      </c>
      <c r="H26" s="36" t="s">
        <v>50</v>
      </c>
      <c r="I26" s="36" t="s">
        <v>51</v>
      </c>
      <c r="J26" s="36" t="s">
        <v>52</v>
      </c>
      <c r="K26" s="36" t="s">
        <v>53</v>
      </c>
      <c r="L26" s="36" t="s">
        <v>54</v>
      </c>
      <c r="M26" s="36" t="s">
        <v>55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2.75" x14ac:dyDescent="0.2">
      <c r="A27" s="37" t="s">
        <v>56</v>
      </c>
      <c r="B27" s="38" t="e">
        <f>#REF!</f>
        <v>#REF!</v>
      </c>
      <c r="C27" s="38" t="e">
        <f>#REF!</f>
        <v>#REF!</v>
      </c>
      <c r="D27" s="38" t="e">
        <f>#REF!</f>
        <v>#REF!</v>
      </c>
      <c r="E27" s="38" t="e">
        <f>#REF!</f>
        <v>#REF!</v>
      </c>
      <c r="F27" s="38" t="e">
        <f>#REF!</f>
        <v>#REF!</v>
      </c>
      <c r="G27" s="38" t="e">
        <f>#REF!</f>
        <v>#REF!</v>
      </c>
      <c r="H27" s="38" t="e">
        <f>#REF!</f>
        <v>#REF!</v>
      </c>
      <c r="I27" s="38" t="e">
        <f>#REF!</f>
        <v>#REF!</v>
      </c>
      <c r="J27" s="38" t="e">
        <f>#REF!</f>
        <v>#REF!</v>
      </c>
      <c r="K27" s="38" t="e">
        <f>#REF!</f>
        <v>#REF!</v>
      </c>
      <c r="L27" s="38" t="e">
        <f>#REF!</f>
        <v>#REF!</v>
      </c>
      <c r="M27" s="38" t="e">
        <f>#REF!</f>
        <v>#REF!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2.75" x14ac:dyDescent="0.2">
      <c r="A28" s="37" t="s">
        <v>57</v>
      </c>
      <c r="B28" s="39" t="e">
        <f>#REF!</f>
        <v>#REF!</v>
      </c>
      <c r="C28" s="39" t="e">
        <f>#REF!</f>
        <v>#REF!</v>
      </c>
      <c r="D28" s="39" t="e">
        <f>#REF!</f>
        <v>#REF!</v>
      </c>
      <c r="E28" s="39" t="e">
        <f>#REF!</f>
        <v>#REF!</v>
      </c>
      <c r="F28" s="39" t="e">
        <f>#REF!</f>
        <v>#REF!</v>
      </c>
      <c r="G28" s="39" t="e">
        <f>#REF!</f>
        <v>#REF!</v>
      </c>
      <c r="H28" s="39" t="e">
        <f>#REF!</f>
        <v>#REF!</v>
      </c>
      <c r="I28" s="39" t="e">
        <f>#REF!</f>
        <v>#REF!</v>
      </c>
      <c r="J28" s="39" t="e">
        <f>#REF!</f>
        <v>#REF!</v>
      </c>
      <c r="K28" s="39" t="e">
        <f>#REF!</f>
        <v>#REF!</v>
      </c>
      <c r="L28" s="39" t="e">
        <f>#REF!</f>
        <v>#REF!</v>
      </c>
      <c r="M28" s="39" t="e">
        <f>#REF!</f>
        <v>#REF!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2.75" x14ac:dyDescent="0.2">
      <c r="A29" s="37" t="s">
        <v>21</v>
      </c>
      <c r="B29" s="40" t="e">
        <f>SUM(B28:M28)</f>
        <v>#REF!</v>
      </c>
      <c r="C29" s="41" t="e">
        <f>(B29/B7)*100%</f>
        <v>#REF!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2.75" x14ac:dyDescent="0.2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2.75" x14ac:dyDescent="0.2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2.75" x14ac:dyDescent="0.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2.75" x14ac:dyDescent="0.2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2.75" x14ac:dyDescent="0.2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2.75" x14ac:dyDescent="0.2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2.75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2.75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.75" x14ac:dyDescent="0.2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2.75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.75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.75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.75" x14ac:dyDescent="0.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.75" x14ac:dyDescent="0.2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.75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.75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.75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" x14ac:dyDescent="0.25">
      <c r="A47" s="34" t="s">
        <v>61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" x14ac:dyDescent="0.25">
      <c r="A48" s="36" t="s">
        <v>43</v>
      </c>
      <c r="B48" s="36" t="s">
        <v>44</v>
      </c>
      <c r="C48" s="36" t="s">
        <v>45</v>
      </c>
      <c r="D48" s="36" t="s">
        <v>46</v>
      </c>
      <c r="E48" s="36" t="s">
        <v>47</v>
      </c>
      <c r="F48" s="36" t="s">
        <v>48</v>
      </c>
      <c r="G48" s="36" t="s">
        <v>49</v>
      </c>
      <c r="H48" s="36" t="s">
        <v>50</v>
      </c>
      <c r="I48" s="36" t="s">
        <v>51</v>
      </c>
      <c r="J48" s="36" t="s">
        <v>52</v>
      </c>
      <c r="K48" s="36" t="s">
        <v>53</v>
      </c>
      <c r="L48" s="36" t="s">
        <v>54</v>
      </c>
      <c r="M48" s="36" t="s">
        <v>55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75" x14ac:dyDescent="0.2">
      <c r="A49" s="37" t="s">
        <v>56</v>
      </c>
      <c r="B49" s="38" t="e">
        <f>#REF!</f>
        <v>#REF!</v>
      </c>
      <c r="C49" s="38" t="e">
        <f>#REF!</f>
        <v>#REF!</v>
      </c>
      <c r="D49" s="38" t="e">
        <f>#REF!</f>
        <v>#REF!</v>
      </c>
      <c r="E49" s="38" t="e">
        <f>#REF!</f>
        <v>#REF!</v>
      </c>
      <c r="F49" s="38" t="e">
        <f>#REF!</f>
        <v>#REF!</v>
      </c>
      <c r="G49" s="38" t="e">
        <f>#REF!</f>
        <v>#REF!</v>
      </c>
      <c r="H49" s="38" t="e">
        <f>#REF!</f>
        <v>#REF!</v>
      </c>
      <c r="I49" s="38" t="e">
        <f>#REF!</f>
        <v>#REF!</v>
      </c>
      <c r="J49" s="38" t="e">
        <f>#REF!</f>
        <v>#REF!</v>
      </c>
      <c r="K49" s="38" t="e">
        <f>#REF!</f>
        <v>#REF!</v>
      </c>
      <c r="L49" s="38" t="e">
        <f>#REF!</f>
        <v>#REF!</v>
      </c>
      <c r="M49" s="38" t="e">
        <f>#REF!</f>
        <v>#REF!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75" x14ac:dyDescent="0.2">
      <c r="A50" s="37" t="s">
        <v>57</v>
      </c>
      <c r="B50" s="39" t="e">
        <f>#REF!</f>
        <v>#REF!</v>
      </c>
      <c r="C50" s="39" t="e">
        <f>#REF!</f>
        <v>#REF!</v>
      </c>
      <c r="D50" s="39" t="e">
        <f>#REF!</f>
        <v>#REF!</v>
      </c>
      <c r="E50" s="39" t="e">
        <f>#REF!</f>
        <v>#REF!</v>
      </c>
      <c r="F50" s="39" t="e">
        <f>#REF!</f>
        <v>#REF!</v>
      </c>
      <c r="G50" s="39" t="e">
        <f>#REF!</f>
        <v>#REF!</v>
      </c>
      <c r="H50" s="39" t="e">
        <f>#REF!</f>
        <v>#REF!</v>
      </c>
      <c r="I50" s="39" t="e">
        <f>#REF!</f>
        <v>#REF!</v>
      </c>
      <c r="J50" s="39" t="e">
        <f>#REF!</f>
        <v>#REF!</v>
      </c>
      <c r="K50" s="39" t="e">
        <f>#REF!</f>
        <v>#REF!</v>
      </c>
      <c r="L50" s="39" t="e">
        <f>#REF!</f>
        <v>#REF!</v>
      </c>
      <c r="M50" s="39" t="e">
        <f>#REF!</f>
        <v>#REF!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.75" x14ac:dyDescent="0.2">
      <c r="A51" s="37" t="s">
        <v>21</v>
      </c>
      <c r="B51" s="39" t="e">
        <f>SUM(B50:M50)</f>
        <v>#REF!</v>
      </c>
      <c r="C51" s="35" t="e">
        <f>(B51/B7)*100%</f>
        <v>#REF!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.75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.75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.75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.75" x14ac:dyDescent="0.2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.75" x14ac:dyDescent="0.2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.75" x14ac:dyDescent="0.2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.75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.75" x14ac:dyDescent="0.2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.75" x14ac:dyDescent="0.2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.75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.75" x14ac:dyDescent="0.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.75" x14ac:dyDescent="0.2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.75" x14ac:dyDescent="0.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.75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.75" x14ac:dyDescent="0.2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.75" x14ac:dyDescent="0.2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.75" x14ac:dyDescent="0.2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" x14ac:dyDescent="0.25">
      <c r="A69" s="34" t="s">
        <v>62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" x14ac:dyDescent="0.25">
      <c r="A70" s="36" t="s">
        <v>43</v>
      </c>
      <c r="B70" s="36" t="s">
        <v>44</v>
      </c>
      <c r="C70" s="36" t="s">
        <v>45</v>
      </c>
      <c r="D70" s="36" t="s">
        <v>46</v>
      </c>
      <c r="E70" s="36" t="s">
        <v>47</v>
      </c>
      <c r="F70" s="36" t="s">
        <v>48</v>
      </c>
      <c r="G70" s="36" t="s">
        <v>49</v>
      </c>
      <c r="H70" s="36" t="s">
        <v>50</v>
      </c>
      <c r="I70" s="36" t="s">
        <v>51</v>
      </c>
      <c r="J70" s="36" t="s">
        <v>52</v>
      </c>
      <c r="K70" s="36" t="s">
        <v>53</v>
      </c>
      <c r="L70" s="36" t="s">
        <v>54</v>
      </c>
      <c r="M70" s="36" t="s">
        <v>55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.75" x14ac:dyDescent="0.2">
      <c r="A71" s="37" t="s">
        <v>56</v>
      </c>
      <c r="B71" s="38" t="e">
        <f>#REF!</f>
        <v>#REF!</v>
      </c>
      <c r="C71" s="38" t="e">
        <f>#REF!</f>
        <v>#REF!</v>
      </c>
      <c r="D71" s="38" t="e">
        <f>#REF!</f>
        <v>#REF!</v>
      </c>
      <c r="E71" s="38" t="e">
        <f>#REF!</f>
        <v>#REF!</v>
      </c>
      <c r="F71" s="38" t="e">
        <f>#REF!</f>
        <v>#REF!</v>
      </c>
      <c r="G71" s="38" t="e">
        <f>#REF!</f>
        <v>#REF!</v>
      </c>
      <c r="H71" s="38" t="e">
        <f>#REF!</f>
        <v>#REF!</v>
      </c>
      <c r="I71" s="38" t="e">
        <f>#REF!</f>
        <v>#REF!</v>
      </c>
      <c r="J71" s="38" t="e">
        <f>#REF!</f>
        <v>#REF!</v>
      </c>
      <c r="K71" s="38" t="e">
        <f>#REF!</f>
        <v>#REF!</v>
      </c>
      <c r="L71" s="38" t="e">
        <f>#REF!</f>
        <v>#REF!</v>
      </c>
      <c r="M71" s="38" t="e">
        <f>#REF!</f>
        <v>#REF!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2.75" x14ac:dyDescent="0.2">
      <c r="A72" s="37" t="s">
        <v>57</v>
      </c>
      <c r="B72" s="39" t="e">
        <f>#REF!</f>
        <v>#REF!</v>
      </c>
      <c r="C72" s="39" t="e">
        <f>#REF!</f>
        <v>#REF!</v>
      </c>
      <c r="D72" s="39" t="e">
        <f>#REF!</f>
        <v>#REF!</v>
      </c>
      <c r="E72" s="39" t="e">
        <f>#REF!</f>
        <v>#REF!</v>
      </c>
      <c r="F72" s="39" t="e">
        <f>#REF!</f>
        <v>#REF!</v>
      </c>
      <c r="G72" s="39" t="e">
        <f>#REF!</f>
        <v>#REF!</v>
      </c>
      <c r="H72" s="39" t="e">
        <f>#REF!</f>
        <v>#REF!</v>
      </c>
      <c r="I72" s="39" t="e">
        <f>#REF!</f>
        <v>#REF!</v>
      </c>
      <c r="J72" s="39" t="e">
        <f>#REF!</f>
        <v>#REF!</v>
      </c>
      <c r="K72" s="39" t="e">
        <f>#REF!</f>
        <v>#REF!</v>
      </c>
      <c r="L72" s="39" t="e">
        <f>#REF!</f>
        <v>#REF!</v>
      </c>
      <c r="M72" s="39" t="e">
        <f>#REF!</f>
        <v>#REF!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.75" x14ac:dyDescent="0.2">
      <c r="A73" s="37" t="s">
        <v>21</v>
      </c>
      <c r="B73" s="39" t="e">
        <f>SUM(B72:M72)</f>
        <v>#REF!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.75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.75" x14ac:dyDescent="0.2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.75" x14ac:dyDescent="0.2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.75" x14ac:dyDescent="0.2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.75" x14ac:dyDescent="0.2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.75" x14ac:dyDescent="0.2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.75" x14ac:dyDescent="0.2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.75" x14ac:dyDescent="0.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.75" x14ac:dyDescent="0.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.75" x14ac:dyDescent="0.2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.75" x14ac:dyDescent="0.2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 x14ac:dyDescent="0.2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x14ac:dyDescent="0.2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75" x14ac:dyDescent="0.2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.75" x14ac:dyDescent="0.2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75" x14ac:dyDescent="0.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75" x14ac:dyDescent="0.2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.75" x14ac:dyDescent="0.2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.75" x14ac:dyDescent="0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.75" x14ac:dyDescent="0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.75" x14ac:dyDescent="0.2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.75" x14ac:dyDescent="0.2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.75" x14ac:dyDescent="0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.75" x14ac:dyDescent="0.2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.75" x14ac:dyDescent="0.2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.75" x14ac:dyDescent="0.2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.75" x14ac:dyDescent="0.2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 x14ac:dyDescent="0.2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x14ac:dyDescent="0.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x14ac:dyDescent="0.2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x14ac:dyDescent="0.2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x14ac:dyDescent="0.2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x14ac:dyDescent="0.2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x14ac:dyDescent="0.2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x14ac:dyDescent="0.2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x14ac:dyDescent="0.2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x14ac:dyDescent="0.2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x14ac:dyDescent="0.2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x14ac:dyDescent="0.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x14ac:dyDescent="0.2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x14ac:dyDescent="0.2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x14ac:dyDescent="0.2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x14ac:dyDescent="0.2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x14ac:dyDescent="0.2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x14ac:dyDescent="0.2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x14ac:dyDescent="0.2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x14ac:dyDescent="0.2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x14ac:dyDescent="0.2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x14ac:dyDescent="0.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x14ac:dyDescent="0.2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x14ac:dyDescent="0.2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x14ac:dyDescent="0.2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x14ac:dyDescent="0.2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x14ac:dyDescent="0.2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x14ac:dyDescent="0.2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x14ac:dyDescent="0.2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x14ac:dyDescent="0.2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x14ac:dyDescent="0.2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x14ac:dyDescent="0.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x14ac:dyDescent="0.2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x14ac:dyDescent="0.2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x14ac:dyDescent="0.2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x14ac:dyDescent="0.2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x14ac:dyDescent="0.2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x14ac:dyDescent="0.2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x14ac:dyDescent="0.2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x14ac:dyDescent="0.2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x14ac:dyDescent="0.2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x14ac:dyDescent="0.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x14ac:dyDescent="0.2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x14ac:dyDescent="0.2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x14ac:dyDescent="0.2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x14ac:dyDescent="0.2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x14ac:dyDescent="0.2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x14ac:dyDescent="0.2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x14ac:dyDescent="0.2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x14ac:dyDescent="0.2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x14ac:dyDescent="0.2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x14ac:dyDescent="0.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x14ac:dyDescent="0.2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x14ac:dyDescent="0.2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x14ac:dyDescent="0.2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x14ac:dyDescent="0.2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x14ac:dyDescent="0.2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x14ac:dyDescent="0.2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x14ac:dyDescent="0.2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x14ac:dyDescent="0.2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x14ac:dyDescent="0.2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x14ac:dyDescent="0.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x14ac:dyDescent="0.2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x14ac:dyDescent="0.2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x14ac:dyDescent="0.2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x14ac:dyDescent="0.2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x14ac:dyDescent="0.2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x14ac:dyDescent="0.2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x14ac:dyDescent="0.2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x14ac:dyDescent="0.2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x14ac:dyDescent="0.2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x14ac:dyDescent="0.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x14ac:dyDescent="0.2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x14ac:dyDescent="0.2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x14ac:dyDescent="0.2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x14ac:dyDescent="0.2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x14ac:dyDescent="0.2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x14ac:dyDescent="0.2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x14ac:dyDescent="0.2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x14ac:dyDescent="0.2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x14ac:dyDescent="0.2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x14ac:dyDescent="0.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x14ac:dyDescent="0.2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x14ac:dyDescent="0.2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x14ac:dyDescent="0.2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x14ac:dyDescent="0.2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x14ac:dyDescent="0.2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x14ac:dyDescent="0.2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x14ac:dyDescent="0.2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x14ac:dyDescent="0.2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x14ac:dyDescent="0.2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x14ac:dyDescent="0.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x14ac:dyDescent="0.2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x14ac:dyDescent="0.2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x14ac:dyDescent="0.2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x14ac:dyDescent="0.2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x14ac:dyDescent="0.2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x14ac:dyDescent="0.2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x14ac:dyDescent="0.2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x14ac:dyDescent="0.2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x14ac:dyDescent="0.2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x14ac:dyDescent="0.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x14ac:dyDescent="0.2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x14ac:dyDescent="0.2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x14ac:dyDescent="0.2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x14ac:dyDescent="0.2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x14ac:dyDescent="0.2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x14ac:dyDescent="0.2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x14ac:dyDescent="0.2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x14ac:dyDescent="0.2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x14ac:dyDescent="0.2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x14ac:dyDescent="0.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x14ac:dyDescent="0.2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x14ac:dyDescent="0.2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x14ac:dyDescent="0.2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x14ac:dyDescent="0.2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x14ac:dyDescent="0.2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x14ac:dyDescent="0.2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x14ac:dyDescent="0.2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x14ac:dyDescent="0.2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x14ac:dyDescent="0.2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x14ac:dyDescent="0.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x14ac:dyDescent="0.2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x14ac:dyDescent="0.2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x14ac:dyDescent="0.2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x14ac:dyDescent="0.2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x14ac:dyDescent="0.2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x14ac:dyDescent="0.2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x14ac:dyDescent="0.2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x14ac:dyDescent="0.2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x14ac:dyDescent="0.2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x14ac:dyDescent="0.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x14ac:dyDescent="0.2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x14ac:dyDescent="0.2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x14ac:dyDescent="0.2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x14ac:dyDescent="0.2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x14ac:dyDescent="0.2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x14ac:dyDescent="0.2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x14ac:dyDescent="0.2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x14ac:dyDescent="0.2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x14ac:dyDescent="0.2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x14ac:dyDescent="0.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x14ac:dyDescent="0.2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x14ac:dyDescent="0.2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x14ac:dyDescent="0.2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x14ac:dyDescent="0.2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x14ac:dyDescent="0.2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x14ac:dyDescent="0.2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x14ac:dyDescent="0.2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x14ac:dyDescent="0.2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x14ac:dyDescent="0.2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x14ac:dyDescent="0.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x14ac:dyDescent="0.2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x14ac:dyDescent="0.2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x14ac:dyDescent="0.2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x14ac:dyDescent="0.2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x14ac:dyDescent="0.2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x14ac:dyDescent="0.2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x14ac:dyDescent="0.2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x14ac:dyDescent="0.2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x14ac:dyDescent="0.2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x14ac:dyDescent="0.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x14ac:dyDescent="0.2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x14ac:dyDescent="0.2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x14ac:dyDescent="0.2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x14ac:dyDescent="0.2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x14ac:dyDescent="0.2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x14ac:dyDescent="0.2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x14ac:dyDescent="0.2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x14ac:dyDescent="0.2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x14ac:dyDescent="0.2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x14ac:dyDescent="0.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x14ac:dyDescent="0.2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x14ac:dyDescent="0.2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x14ac:dyDescent="0.2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x14ac:dyDescent="0.2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x14ac:dyDescent="0.2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x14ac:dyDescent="0.2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x14ac:dyDescent="0.2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x14ac:dyDescent="0.2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x14ac:dyDescent="0.2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x14ac:dyDescent="0.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x14ac:dyDescent="0.2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x14ac:dyDescent="0.2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x14ac:dyDescent="0.2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x14ac:dyDescent="0.2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x14ac:dyDescent="0.2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x14ac:dyDescent="0.2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x14ac:dyDescent="0.2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x14ac:dyDescent="0.2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x14ac:dyDescent="0.2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x14ac:dyDescent="0.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x14ac:dyDescent="0.2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x14ac:dyDescent="0.2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x14ac:dyDescent="0.2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x14ac:dyDescent="0.2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x14ac:dyDescent="0.2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x14ac:dyDescent="0.2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x14ac:dyDescent="0.2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x14ac:dyDescent="0.2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x14ac:dyDescent="0.2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x14ac:dyDescent="0.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x14ac:dyDescent="0.2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x14ac:dyDescent="0.2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x14ac:dyDescent="0.2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x14ac:dyDescent="0.2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x14ac:dyDescent="0.2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x14ac:dyDescent="0.2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x14ac:dyDescent="0.2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x14ac:dyDescent="0.2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x14ac:dyDescent="0.2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x14ac:dyDescent="0.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x14ac:dyDescent="0.2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x14ac:dyDescent="0.2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x14ac:dyDescent="0.2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x14ac:dyDescent="0.2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x14ac:dyDescent="0.2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x14ac:dyDescent="0.2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x14ac:dyDescent="0.2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x14ac:dyDescent="0.2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x14ac:dyDescent="0.2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x14ac:dyDescent="0.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x14ac:dyDescent="0.2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x14ac:dyDescent="0.2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x14ac:dyDescent="0.2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x14ac:dyDescent="0.2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x14ac:dyDescent="0.2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x14ac:dyDescent="0.2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x14ac:dyDescent="0.2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x14ac:dyDescent="0.2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x14ac:dyDescent="0.2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x14ac:dyDescent="0.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x14ac:dyDescent="0.2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x14ac:dyDescent="0.2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x14ac:dyDescent="0.2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x14ac:dyDescent="0.2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x14ac:dyDescent="0.2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x14ac:dyDescent="0.2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x14ac:dyDescent="0.2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x14ac:dyDescent="0.2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x14ac:dyDescent="0.2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x14ac:dyDescent="0.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x14ac:dyDescent="0.2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x14ac:dyDescent="0.2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x14ac:dyDescent="0.2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x14ac:dyDescent="0.2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x14ac:dyDescent="0.2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x14ac:dyDescent="0.2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x14ac:dyDescent="0.2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x14ac:dyDescent="0.2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x14ac:dyDescent="0.2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x14ac:dyDescent="0.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x14ac:dyDescent="0.2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x14ac:dyDescent="0.2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x14ac:dyDescent="0.2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x14ac:dyDescent="0.2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x14ac:dyDescent="0.2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x14ac:dyDescent="0.2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x14ac:dyDescent="0.2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x14ac:dyDescent="0.2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x14ac:dyDescent="0.2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x14ac:dyDescent="0.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x14ac:dyDescent="0.2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x14ac:dyDescent="0.2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x14ac:dyDescent="0.2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x14ac:dyDescent="0.2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x14ac:dyDescent="0.2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x14ac:dyDescent="0.2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x14ac:dyDescent="0.2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x14ac:dyDescent="0.2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x14ac:dyDescent="0.2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x14ac:dyDescent="0.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x14ac:dyDescent="0.2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x14ac:dyDescent="0.2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x14ac:dyDescent="0.2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x14ac:dyDescent="0.2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x14ac:dyDescent="0.2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x14ac:dyDescent="0.2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x14ac:dyDescent="0.2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x14ac:dyDescent="0.2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x14ac:dyDescent="0.2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x14ac:dyDescent="0.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x14ac:dyDescent="0.2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x14ac:dyDescent="0.2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x14ac:dyDescent="0.2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x14ac:dyDescent="0.2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x14ac:dyDescent="0.2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x14ac:dyDescent="0.2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x14ac:dyDescent="0.2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x14ac:dyDescent="0.2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x14ac:dyDescent="0.2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x14ac:dyDescent="0.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x14ac:dyDescent="0.2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x14ac:dyDescent="0.2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x14ac:dyDescent="0.2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x14ac:dyDescent="0.2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x14ac:dyDescent="0.2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x14ac:dyDescent="0.2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x14ac:dyDescent="0.2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x14ac:dyDescent="0.2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x14ac:dyDescent="0.2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x14ac:dyDescent="0.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x14ac:dyDescent="0.2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x14ac:dyDescent="0.2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x14ac:dyDescent="0.2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x14ac:dyDescent="0.2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x14ac:dyDescent="0.2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x14ac:dyDescent="0.2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x14ac:dyDescent="0.2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x14ac:dyDescent="0.2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x14ac:dyDescent="0.2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x14ac:dyDescent="0.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x14ac:dyDescent="0.2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x14ac:dyDescent="0.2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x14ac:dyDescent="0.2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x14ac:dyDescent="0.2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x14ac:dyDescent="0.2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x14ac:dyDescent="0.2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x14ac:dyDescent="0.2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x14ac:dyDescent="0.2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x14ac:dyDescent="0.2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x14ac:dyDescent="0.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x14ac:dyDescent="0.2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x14ac:dyDescent="0.2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x14ac:dyDescent="0.2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x14ac:dyDescent="0.2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x14ac:dyDescent="0.2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x14ac:dyDescent="0.2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x14ac:dyDescent="0.2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x14ac:dyDescent="0.2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x14ac:dyDescent="0.2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x14ac:dyDescent="0.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x14ac:dyDescent="0.2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x14ac:dyDescent="0.2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x14ac:dyDescent="0.2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x14ac:dyDescent="0.2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x14ac:dyDescent="0.2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x14ac:dyDescent="0.2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x14ac:dyDescent="0.2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x14ac:dyDescent="0.2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x14ac:dyDescent="0.2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x14ac:dyDescent="0.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x14ac:dyDescent="0.2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x14ac:dyDescent="0.2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x14ac:dyDescent="0.2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x14ac:dyDescent="0.2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x14ac:dyDescent="0.2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x14ac:dyDescent="0.2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x14ac:dyDescent="0.2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x14ac:dyDescent="0.2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x14ac:dyDescent="0.2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x14ac:dyDescent="0.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x14ac:dyDescent="0.2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x14ac:dyDescent="0.2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x14ac:dyDescent="0.2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x14ac:dyDescent="0.2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x14ac:dyDescent="0.2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x14ac:dyDescent="0.2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x14ac:dyDescent="0.2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x14ac:dyDescent="0.2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x14ac:dyDescent="0.2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x14ac:dyDescent="0.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x14ac:dyDescent="0.2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x14ac:dyDescent="0.2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x14ac:dyDescent="0.2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x14ac:dyDescent="0.2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x14ac:dyDescent="0.2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x14ac:dyDescent="0.2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x14ac:dyDescent="0.2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x14ac:dyDescent="0.2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x14ac:dyDescent="0.2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x14ac:dyDescent="0.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x14ac:dyDescent="0.2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x14ac:dyDescent="0.2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x14ac:dyDescent="0.2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x14ac:dyDescent="0.2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x14ac:dyDescent="0.2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x14ac:dyDescent="0.2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x14ac:dyDescent="0.2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x14ac:dyDescent="0.2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x14ac:dyDescent="0.2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x14ac:dyDescent="0.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x14ac:dyDescent="0.2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x14ac:dyDescent="0.2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x14ac:dyDescent="0.2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x14ac:dyDescent="0.2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x14ac:dyDescent="0.2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x14ac:dyDescent="0.2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x14ac:dyDescent="0.2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x14ac:dyDescent="0.2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x14ac:dyDescent="0.2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x14ac:dyDescent="0.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x14ac:dyDescent="0.2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x14ac:dyDescent="0.2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x14ac:dyDescent="0.2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x14ac:dyDescent="0.2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x14ac:dyDescent="0.2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x14ac:dyDescent="0.2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x14ac:dyDescent="0.2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x14ac:dyDescent="0.2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x14ac:dyDescent="0.2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x14ac:dyDescent="0.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x14ac:dyDescent="0.2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x14ac:dyDescent="0.2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x14ac:dyDescent="0.2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x14ac:dyDescent="0.2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x14ac:dyDescent="0.2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x14ac:dyDescent="0.2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x14ac:dyDescent="0.2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x14ac:dyDescent="0.2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x14ac:dyDescent="0.2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x14ac:dyDescent="0.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x14ac:dyDescent="0.2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x14ac:dyDescent="0.2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x14ac:dyDescent="0.2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x14ac:dyDescent="0.2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x14ac:dyDescent="0.2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x14ac:dyDescent="0.2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x14ac:dyDescent="0.2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x14ac:dyDescent="0.2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x14ac:dyDescent="0.2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x14ac:dyDescent="0.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x14ac:dyDescent="0.2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x14ac:dyDescent="0.2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x14ac:dyDescent="0.2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x14ac:dyDescent="0.2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x14ac:dyDescent="0.2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x14ac:dyDescent="0.2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x14ac:dyDescent="0.2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x14ac:dyDescent="0.2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x14ac:dyDescent="0.2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x14ac:dyDescent="0.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x14ac:dyDescent="0.2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x14ac:dyDescent="0.2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x14ac:dyDescent="0.2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x14ac:dyDescent="0.2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x14ac:dyDescent="0.2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x14ac:dyDescent="0.2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x14ac:dyDescent="0.2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x14ac:dyDescent="0.2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x14ac:dyDescent="0.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x14ac:dyDescent="0.2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x14ac:dyDescent="0.2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x14ac:dyDescent="0.2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x14ac:dyDescent="0.2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x14ac:dyDescent="0.2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x14ac:dyDescent="0.2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x14ac:dyDescent="0.2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x14ac:dyDescent="0.2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x14ac:dyDescent="0.2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x14ac:dyDescent="0.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x14ac:dyDescent="0.2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x14ac:dyDescent="0.2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x14ac:dyDescent="0.2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x14ac:dyDescent="0.2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x14ac:dyDescent="0.2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x14ac:dyDescent="0.2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x14ac:dyDescent="0.2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x14ac:dyDescent="0.2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x14ac:dyDescent="0.2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x14ac:dyDescent="0.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x14ac:dyDescent="0.2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x14ac:dyDescent="0.2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x14ac:dyDescent="0.2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x14ac:dyDescent="0.2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x14ac:dyDescent="0.2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x14ac:dyDescent="0.2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x14ac:dyDescent="0.2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x14ac:dyDescent="0.2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x14ac:dyDescent="0.2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x14ac:dyDescent="0.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x14ac:dyDescent="0.2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x14ac:dyDescent="0.2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x14ac:dyDescent="0.2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x14ac:dyDescent="0.2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x14ac:dyDescent="0.2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x14ac:dyDescent="0.2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x14ac:dyDescent="0.2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x14ac:dyDescent="0.2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x14ac:dyDescent="0.2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x14ac:dyDescent="0.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x14ac:dyDescent="0.2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x14ac:dyDescent="0.2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x14ac:dyDescent="0.2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x14ac:dyDescent="0.2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x14ac:dyDescent="0.2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x14ac:dyDescent="0.2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x14ac:dyDescent="0.2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x14ac:dyDescent="0.2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x14ac:dyDescent="0.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x14ac:dyDescent="0.2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x14ac:dyDescent="0.2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x14ac:dyDescent="0.2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x14ac:dyDescent="0.2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x14ac:dyDescent="0.2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x14ac:dyDescent="0.2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x14ac:dyDescent="0.2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x14ac:dyDescent="0.2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x14ac:dyDescent="0.2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x14ac:dyDescent="0.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x14ac:dyDescent="0.2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x14ac:dyDescent="0.2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x14ac:dyDescent="0.2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x14ac:dyDescent="0.2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x14ac:dyDescent="0.2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x14ac:dyDescent="0.2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x14ac:dyDescent="0.2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x14ac:dyDescent="0.2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x14ac:dyDescent="0.2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x14ac:dyDescent="0.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x14ac:dyDescent="0.2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x14ac:dyDescent="0.2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x14ac:dyDescent="0.2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x14ac:dyDescent="0.2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x14ac:dyDescent="0.2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x14ac:dyDescent="0.2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x14ac:dyDescent="0.2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x14ac:dyDescent="0.2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x14ac:dyDescent="0.2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x14ac:dyDescent="0.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x14ac:dyDescent="0.2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x14ac:dyDescent="0.2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x14ac:dyDescent="0.2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x14ac:dyDescent="0.2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x14ac:dyDescent="0.2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x14ac:dyDescent="0.2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x14ac:dyDescent="0.2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x14ac:dyDescent="0.2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x14ac:dyDescent="0.2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x14ac:dyDescent="0.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x14ac:dyDescent="0.2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x14ac:dyDescent="0.2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x14ac:dyDescent="0.2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x14ac:dyDescent="0.2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x14ac:dyDescent="0.2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x14ac:dyDescent="0.2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x14ac:dyDescent="0.2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x14ac:dyDescent="0.2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x14ac:dyDescent="0.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x14ac:dyDescent="0.2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x14ac:dyDescent="0.2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x14ac:dyDescent="0.2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x14ac:dyDescent="0.2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x14ac:dyDescent="0.2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x14ac:dyDescent="0.2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x14ac:dyDescent="0.2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x14ac:dyDescent="0.2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x14ac:dyDescent="0.2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x14ac:dyDescent="0.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x14ac:dyDescent="0.2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x14ac:dyDescent="0.2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x14ac:dyDescent="0.2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x14ac:dyDescent="0.2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x14ac:dyDescent="0.2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x14ac:dyDescent="0.2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x14ac:dyDescent="0.2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x14ac:dyDescent="0.2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x14ac:dyDescent="0.2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x14ac:dyDescent="0.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x14ac:dyDescent="0.2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x14ac:dyDescent="0.2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x14ac:dyDescent="0.2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x14ac:dyDescent="0.2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x14ac:dyDescent="0.2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x14ac:dyDescent="0.2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x14ac:dyDescent="0.2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x14ac:dyDescent="0.2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x14ac:dyDescent="0.2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x14ac:dyDescent="0.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x14ac:dyDescent="0.2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x14ac:dyDescent="0.2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x14ac:dyDescent="0.2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x14ac:dyDescent="0.2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x14ac:dyDescent="0.2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x14ac:dyDescent="0.2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x14ac:dyDescent="0.2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x14ac:dyDescent="0.2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x14ac:dyDescent="0.2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x14ac:dyDescent="0.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x14ac:dyDescent="0.2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x14ac:dyDescent="0.2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x14ac:dyDescent="0.2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x14ac:dyDescent="0.2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x14ac:dyDescent="0.2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x14ac:dyDescent="0.2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x14ac:dyDescent="0.2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x14ac:dyDescent="0.2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x14ac:dyDescent="0.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x14ac:dyDescent="0.2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x14ac:dyDescent="0.2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x14ac:dyDescent="0.2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x14ac:dyDescent="0.2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x14ac:dyDescent="0.2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x14ac:dyDescent="0.2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x14ac:dyDescent="0.2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x14ac:dyDescent="0.2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x14ac:dyDescent="0.2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x14ac:dyDescent="0.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x14ac:dyDescent="0.2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x14ac:dyDescent="0.2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x14ac:dyDescent="0.2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x14ac:dyDescent="0.2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x14ac:dyDescent="0.2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x14ac:dyDescent="0.2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x14ac:dyDescent="0.2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x14ac:dyDescent="0.2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x14ac:dyDescent="0.2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x14ac:dyDescent="0.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x14ac:dyDescent="0.2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x14ac:dyDescent="0.2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x14ac:dyDescent="0.2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x14ac:dyDescent="0.2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x14ac:dyDescent="0.2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x14ac:dyDescent="0.2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x14ac:dyDescent="0.2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x14ac:dyDescent="0.2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x14ac:dyDescent="0.2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x14ac:dyDescent="0.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x14ac:dyDescent="0.2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x14ac:dyDescent="0.2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x14ac:dyDescent="0.2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x14ac:dyDescent="0.2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x14ac:dyDescent="0.2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x14ac:dyDescent="0.2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x14ac:dyDescent="0.2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x14ac:dyDescent="0.2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x14ac:dyDescent="0.2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x14ac:dyDescent="0.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x14ac:dyDescent="0.2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x14ac:dyDescent="0.2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x14ac:dyDescent="0.2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x14ac:dyDescent="0.2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x14ac:dyDescent="0.2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x14ac:dyDescent="0.2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x14ac:dyDescent="0.2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x14ac:dyDescent="0.2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x14ac:dyDescent="0.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x14ac:dyDescent="0.2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x14ac:dyDescent="0.2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x14ac:dyDescent="0.2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x14ac:dyDescent="0.2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x14ac:dyDescent="0.2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x14ac:dyDescent="0.2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x14ac:dyDescent="0.2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x14ac:dyDescent="0.2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x14ac:dyDescent="0.2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x14ac:dyDescent="0.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x14ac:dyDescent="0.2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x14ac:dyDescent="0.2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x14ac:dyDescent="0.2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x14ac:dyDescent="0.2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x14ac:dyDescent="0.2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x14ac:dyDescent="0.2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x14ac:dyDescent="0.2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x14ac:dyDescent="0.2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x14ac:dyDescent="0.2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x14ac:dyDescent="0.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x14ac:dyDescent="0.2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x14ac:dyDescent="0.2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x14ac:dyDescent="0.2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x14ac:dyDescent="0.2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x14ac:dyDescent="0.2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x14ac:dyDescent="0.2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x14ac:dyDescent="0.2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x14ac:dyDescent="0.2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x14ac:dyDescent="0.2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x14ac:dyDescent="0.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x14ac:dyDescent="0.2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x14ac:dyDescent="0.2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x14ac:dyDescent="0.2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x14ac:dyDescent="0.2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x14ac:dyDescent="0.2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x14ac:dyDescent="0.2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x14ac:dyDescent="0.2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x14ac:dyDescent="0.2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x14ac:dyDescent="0.2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x14ac:dyDescent="0.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x14ac:dyDescent="0.2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x14ac:dyDescent="0.2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x14ac:dyDescent="0.2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x14ac:dyDescent="0.2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x14ac:dyDescent="0.2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x14ac:dyDescent="0.2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x14ac:dyDescent="0.2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x14ac:dyDescent="0.2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x14ac:dyDescent="0.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x14ac:dyDescent="0.2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x14ac:dyDescent="0.2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x14ac:dyDescent="0.2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x14ac:dyDescent="0.2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x14ac:dyDescent="0.2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x14ac:dyDescent="0.2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x14ac:dyDescent="0.2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x14ac:dyDescent="0.2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x14ac:dyDescent="0.2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x14ac:dyDescent="0.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x14ac:dyDescent="0.2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x14ac:dyDescent="0.2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x14ac:dyDescent="0.2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x14ac:dyDescent="0.2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x14ac:dyDescent="0.2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x14ac:dyDescent="0.2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x14ac:dyDescent="0.2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x14ac:dyDescent="0.2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x14ac:dyDescent="0.2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x14ac:dyDescent="0.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x14ac:dyDescent="0.2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x14ac:dyDescent="0.2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x14ac:dyDescent="0.2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x14ac:dyDescent="0.2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x14ac:dyDescent="0.2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x14ac:dyDescent="0.2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x14ac:dyDescent="0.2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x14ac:dyDescent="0.2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x14ac:dyDescent="0.2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x14ac:dyDescent="0.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x14ac:dyDescent="0.2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x14ac:dyDescent="0.2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x14ac:dyDescent="0.2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x14ac:dyDescent="0.2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x14ac:dyDescent="0.2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x14ac:dyDescent="0.2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x14ac:dyDescent="0.2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x14ac:dyDescent="0.2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x14ac:dyDescent="0.2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x14ac:dyDescent="0.2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x14ac:dyDescent="0.2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x14ac:dyDescent="0.2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x14ac:dyDescent="0.2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x14ac:dyDescent="0.2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x14ac:dyDescent="0.2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x14ac:dyDescent="0.2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x14ac:dyDescent="0.2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x14ac:dyDescent="0.2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x14ac:dyDescent="0.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x14ac:dyDescent="0.2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x14ac:dyDescent="0.2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x14ac:dyDescent="0.2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x14ac:dyDescent="0.2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x14ac:dyDescent="0.2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x14ac:dyDescent="0.2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x14ac:dyDescent="0.2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x14ac:dyDescent="0.2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x14ac:dyDescent="0.2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x14ac:dyDescent="0.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x14ac:dyDescent="0.2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x14ac:dyDescent="0.2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x14ac:dyDescent="0.2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x14ac:dyDescent="0.2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x14ac:dyDescent="0.2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x14ac:dyDescent="0.2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x14ac:dyDescent="0.2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x14ac:dyDescent="0.2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x14ac:dyDescent="0.2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x14ac:dyDescent="0.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x14ac:dyDescent="0.2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x14ac:dyDescent="0.2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x14ac:dyDescent="0.2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x14ac:dyDescent="0.2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x14ac:dyDescent="0.2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x14ac:dyDescent="0.2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x14ac:dyDescent="0.2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x14ac:dyDescent="0.2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x14ac:dyDescent="0.2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x14ac:dyDescent="0.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x14ac:dyDescent="0.2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x14ac:dyDescent="0.2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x14ac:dyDescent="0.2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x14ac:dyDescent="0.2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x14ac:dyDescent="0.2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x14ac:dyDescent="0.2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x14ac:dyDescent="0.2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x14ac:dyDescent="0.2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x14ac:dyDescent="0.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x14ac:dyDescent="0.2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x14ac:dyDescent="0.2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x14ac:dyDescent="0.2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x14ac:dyDescent="0.2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x14ac:dyDescent="0.2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x14ac:dyDescent="0.2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x14ac:dyDescent="0.2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x14ac:dyDescent="0.2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x14ac:dyDescent="0.2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x14ac:dyDescent="0.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x14ac:dyDescent="0.2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x14ac:dyDescent="0.2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x14ac:dyDescent="0.2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x14ac:dyDescent="0.2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x14ac:dyDescent="0.2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x14ac:dyDescent="0.2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x14ac:dyDescent="0.2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x14ac:dyDescent="0.2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x14ac:dyDescent="0.2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x14ac:dyDescent="0.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x14ac:dyDescent="0.2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x14ac:dyDescent="0.2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x14ac:dyDescent="0.2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x14ac:dyDescent="0.2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x14ac:dyDescent="0.2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x14ac:dyDescent="0.2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x14ac:dyDescent="0.2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x14ac:dyDescent="0.2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x14ac:dyDescent="0.2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x14ac:dyDescent="0.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x14ac:dyDescent="0.2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x14ac:dyDescent="0.2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x14ac:dyDescent="0.2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x14ac:dyDescent="0.2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x14ac:dyDescent="0.2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x14ac:dyDescent="0.2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x14ac:dyDescent="0.2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x14ac:dyDescent="0.2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x14ac:dyDescent="0.2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x14ac:dyDescent="0.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x14ac:dyDescent="0.2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x14ac:dyDescent="0.2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x14ac:dyDescent="0.2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x14ac:dyDescent="0.2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x14ac:dyDescent="0.2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x14ac:dyDescent="0.2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x14ac:dyDescent="0.2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x14ac:dyDescent="0.2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x14ac:dyDescent="0.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x14ac:dyDescent="0.2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x14ac:dyDescent="0.2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x14ac:dyDescent="0.2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x14ac:dyDescent="0.2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x14ac:dyDescent="0.2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x14ac:dyDescent="0.2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x14ac:dyDescent="0.2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x14ac:dyDescent="0.2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x14ac:dyDescent="0.2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x14ac:dyDescent="0.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x14ac:dyDescent="0.2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x14ac:dyDescent="0.2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x14ac:dyDescent="0.2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x14ac:dyDescent="0.2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x14ac:dyDescent="0.2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x14ac:dyDescent="0.2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x14ac:dyDescent="0.2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x14ac:dyDescent="0.2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x14ac:dyDescent="0.2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x14ac:dyDescent="0.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x14ac:dyDescent="0.2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x14ac:dyDescent="0.2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x14ac:dyDescent="0.2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x14ac:dyDescent="0.2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x14ac:dyDescent="0.2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x14ac:dyDescent="0.2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x14ac:dyDescent="0.2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x14ac:dyDescent="0.2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x14ac:dyDescent="0.2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x14ac:dyDescent="0.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x14ac:dyDescent="0.2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x14ac:dyDescent="0.2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x14ac:dyDescent="0.2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x14ac:dyDescent="0.2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x14ac:dyDescent="0.2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x14ac:dyDescent="0.2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x14ac:dyDescent="0.2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x14ac:dyDescent="0.2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x14ac:dyDescent="0.2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x14ac:dyDescent="0.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x14ac:dyDescent="0.2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x14ac:dyDescent="0.2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x14ac:dyDescent="0.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x14ac:dyDescent="0.2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x14ac:dyDescent="0.2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x14ac:dyDescent="0.2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x14ac:dyDescent="0.2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x14ac:dyDescent="0.2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x14ac:dyDescent="0.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x14ac:dyDescent="0.2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x14ac:dyDescent="0.2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x14ac:dyDescent="0.2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x14ac:dyDescent="0.2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x14ac:dyDescent="0.2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x14ac:dyDescent="0.2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x14ac:dyDescent="0.2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x14ac:dyDescent="0.2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x14ac:dyDescent="0.2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x14ac:dyDescent="0.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x14ac:dyDescent="0.2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x14ac:dyDescent="0.2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x14ac:dyDescent="0.2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x14ac:dyDescent="0.2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x14ac:dyDescent="0.2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x14ac:dyDescent="0.2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x14ac:dyDescent="0.2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x14ac:dyDescent="0.2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62"/>
  <sheetViews>
    <sheetView workbookViewId="0"/>
  </sheetViews>
  <sheetFormatPr defaultColWidth="12.5703125" defaultRowHeight="15.75" customHeight="1" x14ac:dyDescent="0.2"/>
  <sheetData>
    <row r="1" spans="1:26" x14ac:dyDescent="0.25">
      <c r="A1" s="1" t="s">
        <v>71</v>
      </c>
      <c r="B1" s="42"/>
      <c r="C1" s="2"/>
      <c r="D1" s="3"/>
      <c r="E1" s="3"/>
      <c r="F1" s="3"/>
      <c r="G1" s="3"/>
      <c r="H1" s="3"/>
      <c r="I1" s="3"/>
      <c r="J1" s="3"/>
    </row>
    <row r="2" spans="1:26" x14ac:dyDescent="0.25">
      <c r="A2" s="1"/>
      <c r="B2" s="45" t="s">
        <v>72</v>
      </c>
      <c r="C2" s="46"/>
      <c r="D2" s="3"/>
      <c r="E2" s="3"/>
      <c r="F2" s="3"/>
      <c r="G2" s="3"/>
      <c r="H2" s="3"/>
      <c r="I2" s="3"/>
      <c r="J2" s="3"/>
    </row>
    <row r="3" spans="1:26" ht="48" customHeight="1" x14ac:dyDescent="0.25">
      <c r="A3" s="4" t="s">
        <v>1</v>
      </c>
      <c r="B3" s="4" t="s">
        <v>2</v>
      </c>
      <c r="C3" s="4" t="s">
        <v>73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74</v>
      </c>
      <c r="I3" s="6" t="s">
        <v>9</v>
      </c>
      <c r="J3" s="6" t="s">
        <v>10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5" x14ac:dyDescent="0.25">
      <c r="A4" s="8">
        <v>1</v>
      </c>
      <c r="B4" s="9" t="s">
        <v>11</v>
      </c>
      <c r="C4" s="10"/>
      <c r="D4" s="10"/>
      <c r="E4" s="10"/>
      <c r="F4" s="10"/>
      <c r="G4" s="11">
        <f t="shared" ref="G4:G13" si="0">D4+E4+F4</f>
        <v>0</v>
      </c>
      <c r="H4" s="12">
        <f t="shared" ref="H4:H13" si="1">C4-G4</f>
        <v>0</v>
      </c>
      <c r="I4" s="13" t="e">
        <f t="shared" ref="I4:I14" si="2">(G4/C4)*100%</f>
        <v>#DIV/0!</v>
      </c>
      <c r="J4" s="13" t="e">
        <f t="shared" ref="J4:J14" si="3">(H4/C4)*100%</f>
        <v>#DIV/0!</v>
      </c>
      <c r="L4" s="44">
        <f>C4-D4</f>
        <v>0</v>
      </c>
    </row>
    <row r="5" spans="1:26" ht="15" x14ac:dyDescent="0.25">
      <c r="A5" s="8">
        <v>2</v>
      </c>
      <c r="B5" s="9" t="s">
        <v>12</v>
      </c>
      <c r="C5" s="10"/>
      <c r="D5" s="10"/>
      <c r="E5" s="10"/>
      <c r="F5" s="10"/>
      <c r="G5" s="11">
        <f t="shared" si="0"/>
        <v>0</v>
      </c>
      <c r="H5" s="12">
        <f t="shared" si="1"/>
        <v>0</v>
      </c>
      <c r="I5" s="13" t="e">
        <f t="shared" si="2"/>
        <v>#DIV/0!</v>
      </c>
      <c r="J5" s="13" t="e">
        <f t="shared" si="3"/>
        <v>#DIV/0!</v>
      </c>
    </row>
    <row r="6" spans="1:26" ht="15" x14ac:dyDescent="0.25">
      <c r="A6" s="8">
        <v>3</v>
      </c>
      <c r="B6" s="9" t="s">
        <v>13</v>
      </c>
      <c r="C6" s="10"/>
      <c r="D6" s="10"/>
      <c r="E6" s="10"/>
      <c r="F6" s="10"/>
      <c r="G6" s="11">
        <f t="shared" si="0"/>
        <v>0</v>
      </c>
      <c r="H6" s="12">
        <f t="shared" si="1"/>
        <v>0</v>
      </c>
      <c r="I6" s="13" t="e">
        <f t="shared" si="2"/>
        <v>#DIV/0!</v>
      </c>
      <c r="J6" s="13" t="e">
        <f t="shared" si="3"/>
        <v>#DIV/0!</v>
      </c>
    </row>
    <row r="7" spans="1:26" ht="15" x14ac:dyDescent="0.25">
      <c r="A7" s="8">
        <v>4</v>
      </c>
      <c r="B7" s="9" t="s">
        <v>14</v>
      </c>
      <c r="C7" s="10"/>
      <c r="D7" s="10"/>
      <c r="E7" s="10"/>
      <c r="F7" s="10"/>
      <c r="G7" s="11">
        <f t="shared" si="0"/>
        <v>0</v>
      </c>
      <c r="H7" s="12">
        <f t="shared" si="1"/>
        <v>0</v>
      </c>
      <c r="I7" s="13" t="e">
        <f t="shared" si="2"/>
        <v>#DIV/0!</v>
      </c>
      <c r="J7" s="13" t="e">
        <f t="shared" si="3"/>
        <v>#DIV/0!</v>
      </c>
    </row>
    <row r="8" spans="1:26" ht="15" x14ac:dyDescent="0.25">
      <c r="A8" s="8">
        <v>5</v>
      </c>
      <c r="B8" s="9" t="s">
        <v>15</v>
      </c>
      <c r="C8" s="10"/>
      <c r="D8" s="10"/>
      <c r="E8" s="10"/>
      <c r="F8" s="10"/>
      <c r="G8" s="11">
        <f t="shared" si="0"/>
        <v>0</v>
      </c>
      <c r="H8" s="12">
        <f t="shared" si="1"/>
        <v>0</v>
      </c>
      <c r="I8" s="13" t="e">
        <f t="shared" si="2"/>
        <v>#DIV/0!</v>
      </c>
      <c r="J8" s="13" t="e">
        <f t="shared" si="3"/>
        <v>#DIV/0!</v>
      </c>
    </row>
    <row r="9" spans="1:26" ht="15" x14ac:dyDescent="0.25">
      <c r="A9" s="8">
        <v>6</v>
      </c>
      <c r="B9" s="9" t="s">
        <v>16</v>
      </c>
      <c r="C9" s="10"/>
      <c r="D9" s="10"/>
      <c r="E9" s="10"/>
      <c r="F9" s="10"/>
      <c r="G9" s="11">
        <f t="shared" si="0"/>
        <v>0</v>
      </c>
      <c r="H9" s="12">
        <f t="shared" si="1"/>
        <v>0</v>
      </c>
      <c r="I9" s="13" t="e">
        <f t="shared" si="2"/>
        <v>#DIV/0!</v>
      </c>
      <c r="J9" s="13" t="e">
        <f t="shared" si="3"/>
        <v>#DIV/0!</v>
      </c>
    </row>
    <row r="10" spans="1:26" ht="15" x14ac:dyDescent="0.25">
      <c r="A10" s="8">
        <v>7</v>
      </c>
      <c r="B10" s="9" t="s">
        <v>17</v>
      </c>
      <c r="C10" s="10"/>
      <c r="D10" s="10"/>
      <c r="E10" s="10"/>
      <c r="F10" s="10"/>
      <c r="G10" s="11">
        <f t="shared" si="0"/>
        <v>0</v>
      </c>
      <c r="H10" s="12">
        <f t="shared" si="1"/>
        <v>0</v>
      </c>
      <c r="I10" s="13" t="e">
        <f t="shared" si="2"/>
        <v>#DIV/0!</v>
      </c>
      <c r="J10" s="13" t="e">
        <f t="shared" si="3"/>
        <v>#DIV/0!</v>
      </c>
    </row>
    <row r="11" spans="1:26" ht="15" x14ac:dyDescent="0.25">
      <c r="A11" s="8">
        <v>8</v>
      </c>
      <c r="B11" s="9" t="s">
        <v>18</v>
      </c>
      <c r="C11" s="10"/>
      <c r="D11" s="10"/>
      <c r="E11" s="10"/>
      <c r="F11" s="10"/>
      <c r="G11" s="11">
        <f t="shared" si="0"/>
        <v>0</v>
      </c>
      <c r="H11" s="12">
        <f t="shared" si="1"/>
        <v>0</v>
      </c>
      <c r="I11" s="13" t="e">
        <f t="shared" si="2"/>
        <v>#DIV/0!</v>
      </c>
      <c r="J11" s="13" t="e">
        <f t="shared" si="3"/>
        <v>#DIV/0!</v>
      </c>
    </row>
    <row r="12" spans="1:26" ht="15" x14ac:dyDescent="0.25">
      <c r="A12" s="8">
        <v>9</v>
      </c>
      <c r="B12" s="9" t="s">
        <v>19</v>
      </c>
      <c r="C12" s="10"/>
      <c r="D12" s="10"/>
      <c r="E12" s="10"/>
      <c r="F12" s="10"/>
      <c r="G12" s="11">
        <f t="shared" si="0"/>
        <v>0</v>
      </c>
      <c r="H12" s="12">
        <f t="shared" si="1"/>
        <v>0</v>
      </c>
      <c r="I12" s="13" t="e">
        <f t="shared" si="2"/>
        <v>#DIV/0!</v>
      </c>
      <c r="J12" s="13" t="e">
        <f t="shared" si="3"/>
        <v>#DIV/0!</v>
      </c>
    </row>
    <row r="13" spans="1:26" ht="15" x14ac:dyDescent="0.25">
      <c r="A13" s="8">
        <v>10</v>
      </c>
      <c r="B13" s="9" t="s">
        <v>20</v>
      </c>
      <c r="C13" s="10"/>
      <c r="D13" s="10"/>
      <c r="E13" s="10"/>
      <c r="F13" s="10"/>
      <c r="G13" s="11">
        <f t="shared" si="0"/>
        <v>0</v>
      </c>
      <c r="H13" s="12">
        <f t="shared" si="1"/>
        <v>0</v>
      </c>
      <c r="I13" s="13" t="e">
        <f t="shared" si="2"/>
        <v>#DIV/0!</v>
      </c>
      <c r="J13" s="13" t="e">
        <f t="shared" si="3"/>
        <v>#DIV/0!</v>
      </c>
    </row>
    <row r="14" spans="1:26" ht="15" x14ac:dyDescent="0.25">
      <c r="A14" s="8"/>
      <c r="B14" s="16" t="s">
        <v>21</v>
      </c>
      <c r="C14" s="17">
        <f t="shared" ref="C14:H14" si="4">SUM(C4:C13)</f>
        <v>0</v>
      </c>
      <c r="D14" s="17">
        <f t="shared" si="4"/>
        <v>0</v>
      </c>
      <c r="E14" s="17">
        <f t="shared" si="4"/>
        <v>0</v>
      </c>
      <c r="F14" s="17">
        <f t="shared" si="4"/>
        <v>0</v>
      </c>
      <c r="G14" s="17">
        <f t="shared" si="4"/>
        <v>0</v>
      </c>
      <c r="H14" s="17">
        <f t="shared" si="4"/>
        <v>0</v>
      </c>
      <c r="I14" s="18" t="e">
        <f t="shared" si="2"/>
        <v>#DIV/0!</v>
      </c>
      <c r="J14" s="18" t="e">
        <f t="shared" si="3"/>
        <v>#DIV/0!</v>
      </c>
    </row>
    <row r="15" spans="1:26" ht="15" x14ac:dyDescent="0.25">
      <c r="A15" s="1"/>
      <c r="B15" s="19" t="s">
        <v>75</v>
      </c>
      <c r="C15" s="20">
        <f>H14</f>
        <v>0</v>
      </c>
      <c r="D15" s="21"/>
      <c r="E15" s="21"/>
      <c r="F15" s="21"/>
      <c r="G15" s="21"/>
      <c r="H15" s="21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ht="15" x14ac:dyDescent="0.25">
      <c r="A17" s="1"/>
      <c r="B17" s="3"/>
      <c r="C17" s="3"/>
      <c r="D17" s="3"/>
      <c r="E17" s="3"/>
      <c r="F17" s="3"/>
      <c r="G17" s="3"/>
      <c r="H17" s="3"/>
      <c r="I17" s="3"/>
      <c r="J17" s="3"/>
    </row>
    <row r="18" spans="1:26" x14ac:dyDescent="0.25">
      <c r="A18" s="1"/>
      <c r="B18" s="45" t="s">
        <v>23</v>
      </c>
      <c r="C18" s="46"/>
      <c r="D18" s="3"/>
      <c r="E18" s="3"/>
      <c r="F18" s="3"/>
      <c r="G18" s="3"/>
      <c r="H18" s="3"/>
      <c r="I18" s="3"/>
      <c r="J18" s="3"/>
    </row>
    <row r="19" spans="1:26" ht="30" x14ac:dyDescent="0.25">
      <c r="A19" s="4" t="s">
        <v>1</v>
      </c>
      <c r="B19" s="4" t="s">
        <v>2</v>
      </c>
      <c r="C19" s="4" t="s">
        <v>24</v>
      </c>
      <c r="D19" s="4" t="s">
        <v>25</v>
      </c>
      <c r="E19" s="4" t="s">
        <v>26</v>
      </c>
      <c r="F19" s="5" t="s">
        <v>27</v>
      </c>
      <c r="G19" s="6" t="s">
        <v>28</v>
      </c>
      <c r="H19" s="22"/>
      <c r="I19" s="22"/>
      <c r="J19" s="22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x14ac:dyDescent="0.25">
      <c r="A20" s="8">
        <v>1</v>
      </c>
      <c r="B20" s="9" t="s">
        <v>11</v>
      </c>
      <c r="C20" s="10"/>
      <c r="D20" s="10"/>
      <c r="E20" s="11">
        <f t="shared" ref="E20:E29" si="5">C20-D20</f>
        <v>0</v>
      </c>
      <c r="F20" s="13" t="e">
        <f t="shared" ref="F20:F29" si="6">(D20/C20)*100%</f>
        <v>#DIV/0!</v>
      </c>
      <c r="G20" s="13" t="e">
        <f t="shared" ref="G20:G29" si="7">(E20/C20)*100%</f>
        <v>#DIV/0!</v>
      </c>
      <c r="H20" s="3"/>
      <c r="I20" s="3"/>
      <c r="J20" s="3"/>
    </row>
    <row r="21" spans="1:26" ht="15" x14ac:dyDescent="0.25">
      <c r="A21" s="8">
        <v>2</v>
      </c>
      <c r="B21" s="9" t="s">
        <v>12</v>
      </c>
      <c r="C21" s="10"/>
      <c r="D21" s="10"/>
      <c r="E21" s="11">
        <f t="shared" si="5"/>
        <v>0</v>
      </c>
      <c r="F21" s="13" t="e">
        <f t="shared" si="6"/>
        <v>#DIV/0!</v>
      </c>
      <c r="G21" s="13" t="e">
        <f t="shared" si="7"/>
        <v>#DIV/0!</v>
      </c>
      <c r="H21" s="3"/>
      <c r="I21" s="3"/>
      <c r="J21" s="3"/>
    </row>
    <row r="22" spans="1:26" ht="15" x14ac:dyDescent="0.25">
      <c r="A22" s="8">
        <v>3</v>
      </c>
      <c r="B22" s="9" t="s">
        <v>13</v>
      </c>
      <c r="C22" s="10"/>
      <c r="D22" s="10"/>
      <c r="E22" s="11">
        <f t="shared" si="5"/>
        <v>0</v>
      </c>
      <c r="F22" s="13" t="e">
        <f t="shared" si="6"/>
        <v>#DIV/0!</v>
      </c>
      <c r="G22" s="13" t="e">
        <f t="shared" si="7"/>
        <v>#DIV/0!</v>
      </c>
      <c r="H22" s="3"/>
      <c r="I22" s="3"/>
      <c r="J22" s="3"/>
    </row>
    <row r="23" spans="1:26" ht="15" x14ac:dyDescent="0.25">
      <c r="A23" s="8">
        <v>4</v>
      </c>
      <c r="B23" s="9" t="s">
        <v>14</v>
      </c>
      <c r="C23" s="10"/>
      <c r="D23" s="10"/>
      <c r="E23" s="11">
        <f t="shared" si="5"/>
        <v>0</v>
      </c>
      <c r="F23" s="13" t="e">
        <f t="shared" si="6"/>
        <v>#DIV/0!</v>
      </c>
      <c r="G23" s="13" t="e">
        <f t="shared" si="7"/>
        <v>#DIV/0!</v>
      </c>
      <c r="H23" s="3"/>
      <c r="I23" s="3"/>
      <c r="J23" s="3"/>
    </row>
    <row r="24" spans="1:26" ht="15" x14ac:dyDescent="0.25">
      <c r="A24" s="8">
        <v>5</v>
      </c>
      <c r="B24" s="9" t="s">
        <v>15</v>
      </c>
      <c r="C24" s="10"/>
      <c r="D24" s="10"/>
      <c r="E24" s="11">
        <f t="shared" si="5"/>
        <v>0</v>
      </c>
      <c r="F24" s="13" t="e">
        <f t="shared" si="6"/>
        <v>#DIV/0!</v>
      </c>
      <c r="G24" s="13" t="e">
        <f t="shared" si="7"/>
        <v>#DIV/0!</v>
      </c>
      <c r="H24" s="3"/>
      <c r="I24" s="3"/>
      <c r="J24" s="3"/>
    </row>
    <row r="25" spans="1:26" ht="15" x14ac:dyDescent="0.25">
      <c r="A25" s="8">
        <v>6</v>
      </c>
      <c r="B25" s="9" t="s">
        <v>16</v>
      </c>
      <c r="C25" s="10"/>
      <c r="D25" s="10"/>
      <c r="E25" s="11">
        <f t="shared" si="5"/>
        <v>0</v>
      </c>
      <c r="F25" s="13" t="e">
        <f t="shared" si="6"/>
        <v>#DIV/0!</v>
      </c>
      <c r="G25" s="13" t="e">
        <f t="shared" si="7"/>
        <v>#DIV/0!</v>
      </c>
      <c r="H25" s="3"/>
      <c r="I25" s="3"/>
      <c r="J25" s="3"/>
    </row>
    <row r="26" spans="1:26" ht="15" x14ac:dyDescent="0.25">
      <c r="A26" s="8">
        <v>7</v>
      </c>
      <c r="B26" s="9" t="s">
        <v>17</v>
      </c>
      <c r="C26" s="10"/>
      <c r="D26" s="10"/>
      <c r="E26" s="11">
        <f t="shared" si="5"/>
        <v>0</v>
      </c>
      <c r="F26" s="13" t="e">
        <f t="shared" si="6"/>
        <v>#DIV/0!</v>
      </c>
      <c r="G26" s="13" t="e">
        <f t="shared" si="7"/>
        <v>#DIV/0!</v>
      </c>
      <c r="H26" s="3"/>
      <c r="I26" s="3"/>
      <c r="J26" s="3"/>
    </row>
    <row r="27" spans="1:26" ht="15" x14ac:dyDescent="0.25">
      <c r="A27" s="8">
        <v>8</v>
      </c>
      <c r="B27" s="9" t="s">
        <v>18</v>
      </c>
      <c r="C27" s="10"/>
      <c r="D27" s="10"/>
      <c r="E27" s="11">
        <f t="shared" si="5"/>
        <v>0</v>
      </c>
      <c r="F27" s="13" t="e">
        <f t="shared" si="6"/>
        <v>#DIV/0!</v>
      </c>
      <c r="G27" s="13" t="e">
        <f t="shared" si="7"/>
        <v>#DIV/0!</v>
      </c>
      <c r="H27" s="3"/>
      <c r="I27" s="3"/>
      <c r="J27" s="3"/>
    </row>
    <row r="28" spans="1:26" ht="15" x14ac:dyDescent="0.25">
      <c r="A28" s="8">
        <v>9</v>
      </c>
      <c r="B28" s="9" t="s">
        <v>19</v>
      </c>
      <c r="C28" s="10"/>
      <c r="D28" s="10"/>
      <c r="E28" s="11">
        <f t="shared" si="5"/>
        <v>0</v>
      </c>
      <c r="F28" s="13" t="e">
        <f t="shared" si="6"/>
        <v>#DIV/0!</v>
      </c>
      <c r="G28" s="13" t="e">
        <f t="shared" si="7"/>
        <v>#DIV/0!</v>
      </c>
      <c r="H28" s="3"/>
      <c r="I28" s="3"/>
      <c r="J28" s="3"/>
    </row>
    <row r="29" spans="1:26" ht="15" x14ac:dyDescent="0.25">
      <c r="A29" s="8">
        <v>10</v>
      </c>
      <c r="B29" s="9" t="s">
        <v>20</v>
      </c>
      <c r="C29" s="10"/>
      <c r="D29" s="10"/>
      <c r="E29" s="11">
        <f t="shared" si="5"/>
        <v>0</v>
      </c>
      <c r="F29" s="13" t="e">
        <f t="shared" si="6"/>
        <v>#DIV/0!</v>
      </c>
      <c r="G29" s="13" t="e">
        <f t="shared" si="7"/>
        <v>#DIV/0!</v>
      </c>
      <c r="H29" s="3"/>
      <c r="I29" s="3"/>
      <c r="J29" s="3"/>
    </row>
    <row r="30" spans="1:26" ht="15" x14ac:dyDescent="0.25">
      <c r="A30" s="9"/>
      <c r="B30" s="16" t="s">
        <v>21</v>
      </c>
      <c r="C30" s="17">
        <f t="shared" ref="C30:E30" si="8">SUM(C20:C29)</f>
        <v>0</v>
      </c>
      <c r="D30" s="17">
        <f t="shared" si="8"/>
        <v>0</v>
      </c>
      <c r="E30" s="17">
        <f t="shared" si="8"/>
        <v>0</v>
      </c>
      <c r="F30" s="23">
        <v>0.25</v>
      </c>
      <c r="G30" s="23">
        <v>0.75</v>
      </c>
      <c r="H30" s="3"/>
      <c r="I30" s="3"/>
      <c r="J30" s="3"/>
    </row>
    <row r="31" spans="1:26" ht="15" x14ac:dyDescent="0.25">
      <c r="A31" s="3"/>
      <c r="B31" s="19" t="s">
        <v>30</v>
      </c>
      <c r="C31" s="20">
        <f>E30</f>
        <v>0</v>
      </c>
      <c r="D31" s="21"/>
      <c r="E31" s="21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ht="15" x14ac:dyDescent="0.25">
      <c r="A33" s="1"/>
      <c r="B33" s="3"/>
      <c r="C33" s="3"/>
      <c r="D33" s="3"/>
      <c r="E33" s="3"/>
      <c r="F33" s="3"/>
      <c r="G33" s="3"/>
      <c r="H33" s="3"/>
      <c r="I33" s="3"/>
      <c r="J33" s="3"/>
    </row>
    <row r="34" spans="1:26" x14ac:dyDescent="0.25">
      <c r="A34" s="1"/>
      <c r="B34" s="45" t="s">
        <v>76</v>
      </c>
      <c r="C34" s="46"/>
      <c r="D34" s="3"/>
      <c r="E34" s="3"/>
      <c r="F34" s="3"/>
      <c r="G34" s="3"/>
      <c r="H34" s="3"/>
      <c r="I34" s="3"/>
      <c r="J34" s="3"/>
    </row>
    <row r="35" spans="1:26" ht="30" x14ac:dyDescent="0.25">
      <c r="A35" s="4" t="s">
        <v>1</v>
      </c>
      <c r="B35" s="4" t="s">
        <v>2</v>
      </c>
      <c r="C35" s="4" t="s">
        <v>31</v>
      </c>
      <c r="D35" s="4" t="s">
        <v>4</v>
      </c>
      <c r="E35" s="4" t="s">
        <v>32</v>
      </c>
      <c r="F35" s="4" t="s">
        <v>33</v>
      </c>
      <c r="G35" s="22"/>
      <c r="H35" s="22"/>
      <c r="I35" s="22"/>
      <c r="J35" s="22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x14ac:dyDescent="0.25">
      <c r="A36" s="8">
        <v>1</v>
      </c>
      <c r="B36" s="9" t="s">
        <v>11</v>
      </c>
      <c r="C36" s="8"/>
      <c r="D36" s="8"/>
      <c r="E36" s="8"/>
      <c r="F36" s="8">
        <f t="shared" ref="F36:F45" si="9">C36-D36-E36</f>
        <v>0</v>
      </c>
      <c r="G36" s="3"/>
      <c r="H36" s="3"/>
      <c r="I36" s="3"/>
      <c r="J36" s="3"/>
    </row>
    <row r="37" spans="1:26" ht="15" x14ac:dyDescent="0.25">
      <c r="A37" s="8">
        <v>2</v>
      </c>
      <c r="B37" s="9" t="s">
        <v>12</v>
      </c>
      <c r="C37" s="8"/>
      <c r="D37" s="8"/>
      <c r="E37" s="8"/>
      <c r="F37" s="8">
        <f t="shared" si="9"/>
        <v>0</v>
      </c>
      <c r="G37" s="3"/>
      <c r="H37" s="3"/>
      <c r="I37" s="3"/>
      <c r="J37" s="3"/>
    </row>
    <row r="38" spans="1:26" ht="15" x14ac:dyDescent="0.25">
      <c r="A38" s="8">
        <v>3</v>
      </c>
      <c r="B38" s="9" t="s">
        <v>13</v>
      </c>
      <c r="C38" s="8"/>
      <c r="D38" s="8"/>
      <c r="E38" s="8"/>
      <c r="F38" s="8">
        <f t="shared" si="9"/>
        <v>0</v>
      </c>
      <c r="G38" s="3"/>
      <c r="H38" s="3"/>
      <c r="I38" s="3"/>
      <c r="J38" s="3"/>
    </row>
    <row r="39" spans="1:26" ht="15" x14ac:dyDescent="0.25">
      <c r="A39" s="8">
        <v>4</v>
      </c>
      <c r="B39" s="9" t="s">
        <v>14</v>
      </c>
      <c r="C39" s="8"/>
      <c r="D39" s="8"/>
      <c r="E39" s="8"/>
      <c r="F39" s="8">
        <f t="shared" si="9"/>
        <v>0</v>
      </c>
      <c r="G39" s="3"/>
      <c r="H39" s="3"/>
      <c r="I39" s="3"/>
      <c r="J39" s="3"/>
    </row>
    <row r="40" spans="1:26" ht="15" x14ac:dyDescent="0.25">
      <c r="A40" s="8">
        <v>5</v>
      </c>
      <c r="B40" s="9" t="s">
        <v>15</v>
      </c>
      <c r="C40" s="8"/>
      <c r="D40" s="8"/>
      <c r="E40" s="8"/>
      <c r="F40" s="8">
        <f t="shared" si="9"/>
        <v>0</v>
      </c>
      <c r="G40" s="3"/>
      <c r="H40" s="3"/>
      <c r="I40" s="3"/>
      <c r="J40" s="3"/>
    </row>
    <row r="41" spans="1:26" ht="15" x14ac:dyDescent="0.25">
      <c r="A41" s="8">
        <v>6</v>
      </c>
      <c r="B41" s="9" t="s">
        <v>16</v>
      </c>
      <c r="C41" s="8"/>
      <c r="D41" s="8"/>
      <c r="E41" s="8"/>
      <c r="F41" s="8">
        <f t="shared" si="9"/>
        <v>0</v>
      </c>
      <c r="G41" s="3"/>
      <c r="H41" s="3"/>
      <c r="I41" s="3"/>
      <c r="J41" s="3"/>
    </row>
    <row r="42" spans="1:26" ht="15" x14ac:dyDescent="0.25">
      <c r="A42" s="8">
        <v>7</v>
      </c>
      <c r="B42" s="9" t="s">
        <v>17</v>
      </c>
      <c r="C42" s="8"/>
      <c r="D42" s="8"/>
      <c r="E42" s="8"/>
      <c r="F42" s="8">
        <f t="shared" si="9"/>
        <v>0</v>
      </c>
      <c r="G42" s="3"/>
      <c r="H42" s="3"/>
      <c r="I42" s="3"/>
      <c r="J42" s="3"/>
    </row>
    <row r="43" spans="1:26" ht="15" x14ac:dyDescent="0.25">
      <c r="A43" s="8">
        <v>8</v>
      </c>
      <c r="B43" s="9" t="s">
        <v>18</v>
      </c>
      <c r="C43" s="8"/>
      <c r="D43" s="8"/>
      <c r="E43" s="8"/>
      <c r="F43" s="8">
        <f t="shared" si="9"/>
        <v>0</v>
      </c>
      <c r="G43" s="3"/>
      <c r="H43" s="3"/>
      <c r="I43" s="3"/>
      <c r="J43" s="3"/>
    </row>
    <row r="44" spans="1:26" ht="15" x14ac:dyDescent="0.25">
      <c r="A44" s="8">
        <v>9</v>
      </c>
      <c r="B44" s="9" t="s">
        <v>19</v>
      </c>
      <c r="C44" s="8"/>
      <c r="D44" s="8"/>
      <c r="E44" s="8"/>
      <c r="F44" s="8">
        <f t="shared" si="9"/>
        <v>0</v>
      </c>
      <c r="G44" s="3"/>
      <c r="H44" s="3"/>
      <c r="I44" s="3"/>
      <c r="J44" s="3"/>
    </row>
    <row r="45" spans="1:26" ht="15" x14ac:dyDescent="0.25">
      <c r="A45" s="8">
        <v>10</v>
      </c>
      <c r="B45" s="9" t="s">
        <v>20</v>
      </c>
      <c r="C45" s="8"/>
      <c r="D45" s="8"/>
      <c r="E45" s="8"/>
      <c r="F45" s="8">
        <f t="shared" si="9"/>
        <v>0</v>
      </c>
      <c r="G45" s="3"/>
      <c r="H45" s="3"/>
      <c r="I45" s="3"/>
      <c r="J45" s="3"/>
    </row>
    <row r="46" spans="1:26" ht="15" x14ac:dyDescent="0.25">
      <c r="A46" s="24"/>
      <c r="B46" s="16" t="s">
        <v>21</v>
      </c>
      <c r="C46" s="25">
        <f t="shared" ref="C46:F46" si="10">SUM(C36:C45)</f>
        <v>0</v>
      </c>
      <c r="D46" s="25">
        <f t="shared" si="10"/>
        <v>0</v>
      </c>
      <c r="E46" s="25">
        <f t="shared" si="10"/>
        <v>0</v>
      </c>
      <c r="F46" s="25">
        <f t="shared" si="10"/>
        <v>0</v>
      </c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ht="15" x14ac:dyDescent="0.25">
      <c r="A48" s="1"/>
      <c r="B48" s="3"/>
      <c r="C48" s="3"/>
      <c r="D48" s="3"/>
      <c r="E48" s="3"/>
      <c r="F48" s="3"/>
      <c r="G48" s="3"/>
      <c r="H48" s="3"/>
      <c r="I48" s="3"/>
      <c r="J48" s="3"/>
    </row>
    <row r="49" spans="1:26" x14ac:dyDescent="0.25">
      <c r="A49" s="1"/>
      <c r="B49" s="45" t="s">
        <v>77</v>
      </c>
      <c r="C49" s="46"/>
      <c r="D49" s="3"/>
      <c r="E49" s="3"/>
      <c r="F49" s="3"/>
      <c r="G49" s="3"/>
      <c r="H49" s="3"/>
      <c r="I49" s="3"/>
      <c r="J49" s="3"/>
    </row>
    <row r="50" spans="1:26" ht="45" x14ac:dyDescent="0.25">
      <c r="A50" s="4" t="s">
        <v>1</v>
      </c>
      <c r="B50" s="4" t="s">
        <v>2</v>
      </c>
      <c r="C50" s="4" t="s">
        <v>6</v>
      </c>
      <c r="D50" s="4" t="s">
        <v>35</v>
      </c>
      <c r="E50" s="4" t="s">
        <v>36</v>
      </c>
      <c r="F50" s="4" t="s">
        <v>78</v>
      </c>
      <c r="G50" s="4" t="s">
        <v>79</v>
      </c>
      <c r="H50" s="4" t="s">
        <v>80</v>
      </c>
      <c r="I50" s="22"/>
      <c r="J50" s="22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x14ac:dyDescent="0.25">
      <c r="A51" s="8">
        <v>1</v>
      </c>
      <c r="B51" s="9" t="s">
        <v>11</v>
      </c>
      <c r="C51" s="10">
        <f t="shared" ref="C51:C60" si="11">F4</f>
        <v>0</v>
      </c>
      <c r="D51" s="10">
        <f t="shared" ref="D51:D60" si="12">D20</f>
        <v>0</v>
      </c>
      <c r="E51" s="10"/>
      <c r="F51" s="10">
        <f t="shared" ref="F51:F60" si="13">C51+D51+E51</f>
        <v>0</v>
      </c>
      <c r="G51" s="14"/>
      <c r="H51" s="10">
        <f t="shared" ref="H51:H60" si="14">F51-G51</f>
        <v>0</v>
      </c>
      <c r="I51" s="3"/>
      <c r="J51" s="3"/>
    </row>
    <row r="52" spans="1:26" ht="15" x14ac:dyDescent="0.25">
      <c r="A52" s="8">
        <v>2</v>
      </c>
      <c r="B52" s="9" t="s">
        <v>12</v>
      </c>
      <c r="C52" s="10">
        <f t="shared" si="11"/>
        <v>0</v>
      </c>
      <c r="D52" s="10">
        <f t="shared" si="12"/>
        <v>0</v>
      </c>
      <c r="E52" s="10"/>
      <c r="F52" s="10">
        <f t="shared" si="13"/>
        <v>0</v>
      </c>
      <c r="G52" s="14"/>
      <c r="H52" s="10">
        <f t="shared" si="14"/>
        <v>0</v>
      </c>
      <c r="I52" s="3"/>
      <c r="J52" s="3"/>
    </row>
    <row r="53" spans="1:26" ht="15" x14ac:dyDescent="0.25">
      <c r="A53" s="8">
        <v>3</v>
      </c>
      <c r="B53" s="9" t="s">
        <v>13</v>
      </c>
      <c r="C53" s="10">
        <f t="shared" si="11"/>
        <v>0</v>
      </c>
      <c r="D53" s="10">
        <f t="shared" si="12"/>
        <v>0</v>
      </c>
      <c r="E53" s="10"/>
      <c r="F53" s="10">
        <f t="shared" si="13"/>
        <v>0</v>
      </c>
      <c r="G53" s="14"/>
      <c r="H53" s="10">
        <f t="shared" si="14"/>
        <v>0</v>
      </c>
      <c r="I53" s="3"/>
      <c r="J53" s="3"/>
    </row>
    <row r="54" spans="1:26" ht="15" x14ac:dyDescent="0.25">
      <c r="A54" s="8">
        <v>4</v>
      </c>
      <c r="B54" s="9" t="s">
        <v>14</v>
      </c>
      <c r="C54" s="10">
        <f t="shared" si="11"/>
        <v>0</v>
      </c>
      <c r="D54" s="10">
        <f t="shared" si="12"/>
        <v>0</v>
      </c>
      <c r="E54" s="10"/>
      <c r="F54" s="10">
        <f t="shared" si="13"/>
        <v>0</v>
      </c>
      <c r="G54" s="14"/>
      <c r="H54" s="10">
        <f t="shared" si="14"/>
        <v>0</v>
      </c>
      <c r="I54" s="3"/>
      <c r="J54" s="3"/>
    </row>
    <row r="55" spans="1:26" ht="15" x14ac:dyDescent="0.25">
      <c r="A55" s="8">
        <v>5</v>
      </c>
      <c r="B55" s="9" t="s">
        <v>15</v>
      </c>
      <c r="C55" s="10">
        <f t="shared" si="11"/>
        <v>0</v>
      </c>
      <c r="D55" s="10">
        <f t="shared" si="12"/>
        <v>0</v>
      </c>
      <c r="E55" s="10"/>
      <c r="F55" s="10">
        <f t="shared" si="13"/>
        <v>0</v>
      </c>
      <c r="G55" s="14"/>
      <c r="H55" s="10">
        <f t="shared" si="14"/>
        <v>0</v>
      </c>
      <c r="I55" s="3"/>
      <c r="J55" s="3"/>
    </row>
    <row r="56" spans="1:26" ht="15" x14ac:dyDescent="0.25">
      <c r="A56" s="8">
        <v>6</v>
      </c>
      <c r="B56" s="9" t="s">
        <v>16</v>
      </c>
      <c r="C56" s="10">
        <f t="shared" si="11"/>
        <v>0</v>
      </c>
      <c r="D56" s="10">
        <f t="shared" si="12"/>
        <v>0</v>
      </c>
      <c r="E56" s="10"/>
      <c r="F56" s="10">
        <f t="shared" si="13"/>
        <v>0</v>
      </c>
      <c r="G56" s="14"/>
      <c r="H56" s="10">
        <f t="shared" si="14"/>
        <v>0</v>
      </c>
      <c r="I56" s="3"/>
      <c r="J56" s="3"/>
    </row>
    <row r="57" spans="1:26" ht="15" x14ac:dyDescent="0.25">
      <c r="A57" s="8">
        <v>7</v>
      </c>
      <c r="B57" s="9" t="s">
        <v>17</v>
      </c>
      <c r="C57" s="10">
        <f t="shared" si="11"/>
        <v>0</v>
      </c>
      <c r="D57" s="10">
        <f t="shared" si="12"/>
        <v>0</v>
      </c>
      <c r="E57" s="10"/>
      <c r="F57" s="10">
        <f t="shared" si="13"/>
        <v>0</v>
      </c>
      <c r="G57" s="10"/>
      <c r="H57" s="10">
        <f t="shared" si="14"/>
        <v>0</v>
      </c>
      <c r="I57" s="3"/>
      <c r="J57" s="3"/>
    </row>
    <row r="58" spans="1:26" ht="15" x14ac:dyDescent="0.25">
      <c r="A58" s="8">
        <v>8</v>
      </c>
      <c r="B58" s="9" t="s">
        <v>18</v>
      </c>
      <c r="C58" s="10">
        <f t="shared" si="11"/>
        <v>0</v>
      </c>
      <c r="D58" s="10">
        <f t="shared" si="12"/>
        <v>0</v>
      </c>
      <c r="E58" s="10"/>
      <c r="F58" s="10">
        <f t="shared" si="13"/>
        <v>0</v>
      </c>
      <c r="G58" s="10"/>
      <c r="H58" s="10">
        <f t="shared" si="14"/>
        <v>0</v>
      </c>
      <c r="I58" s="3"/>
      <c r="J58" s="3"/>
    </row>
    <row r="59" spans="1:26" ht="15" x14ac:dyDescent="0.25">
      <c r="A59" s="8">
        <v>9</v>
      </c>
      <c r="B59" s="9" t="s">
        <v>19</v>
      </c>
      <c r="C59" s="10">
        <f t="shared" si="11"/>
        <v>0</v>
      </c>
      <c r="D59" s="10">
        <f t="shared" si="12"/>
        <v>0</v>
      </c>
      <c r="E59" s="10"/>
      <c r="F59" s="10">
        <f t="shared" si="13"/>
        <v>0</v>
      </c>
      <c r="G59" s="14"/>
      <c r="H59" s="10">
        <f t="shared" si="14"/>
        <v>0</v>
      </c>
      <c r="I59" s="3"/>
      <c r="J59" s="3"/>
    </row>
    <row r="60" spans="1:26" ht="15" x14ac:dyDescent="0.25">
      <c r="A60" s="8">
        <v>10</v>
      </c>
      <c r="B60" s="9" t="s">
        <v>20</v>
      </c>
      <c r="C60" s="10">
        <f t="shared" si="11"/>
        <v>0</v>
      </c>
      <c r="D60" s="10">
        <f t="shared" si="12"/>
        <v>0</v>
      </c>
      <c r="E60" s="10"/>
      <c r="F60" s="10">
        <f t="shared" si="13"/>
        <v>0</v>
      </c>
      <c r="G60" s="14"/>
      <c r="H60" s="10">
        <f t="shared" si="14"/>
        <v>0</v>
      </c>
      <c r="I60" s="3"/>
      <c r="J60" s="3"/>
    </row>
    <row r="61" spans="1:26" ht="15" x14ac:dyDescent="0.25">
      <c r="A61" s="24"/>
      <c r="B61" s="16" t="s">
        <v>41</v>
      </c>
      <c r="C61" s="17">
        <f t="shared" ref="C61:H61" si="15">SUM(C51:C60)</f>
        <v>0</v>
      </c>
      <c r="D61" s="17">
        <f t="shared" si="15"/>
        <v>0</v>
      </c>
      <c r="E61" s="17">
        <f t="shared" si="15"/>
        <v>0</v>
      </c>
      <c r="F61" s="17">
        <f t="shared" si="15"/>
        <v>0</v>
      </c>
      <c r="G61" s="17">
        <f t="shared" si="15"/>
        <v>0</v>
      </c>
      <c r="H61" s="17">
        <f t="shared" si="15"/>
        <v>0</v>
      </c>
      <c r="I61" s="3"/>
      <c r="J61" s="3"/>
    </row>
    <row r="62" spans="1:26" ht="15" x14ac:dyDescent="0.25">
      <c r="A62" s="1"/>
      <c r="B62" s="16" t="s">
        <v>21</v>
      </c>
      <c r="C62" s="17">
        <f>F61</f>
        <v>0</v>
      </c>
      <c r="D62" s="21"/>
      <c r="E62" s="21"/>
      <c r="F62" s="21"/>
      <c r="G62" s="21"/>
      <c r="H62" s="21"/>
      <c r="I62" s="3"/>
      <c r="J62" s="3"/>
    </row>
  </sheetData>
  <mergeCells count="4">
    <mergeCell ref="B2:C2"/>
    <mergeCell ref="B18:C18"/>
    <mergeCell ref="B34:C34"/>
    <mergeCell ref="B49:C4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81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82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83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/>
      <c r="D3" s="10"/>
      <c r="E3" s="10"/>
      <c r="F3" s="10"/>
      <c r="G3" s="11">
        <f t="shared" ref="G3:G12" si="0">D3+E3+F3</f>
        <v>0</v>
      </c>
      <c r="H3" s="12">
        <f t="shared" ref="H3:H12" si="1">C3-G3</f>
        <v>0</v>
      </c>
      <c r="I3" s="13" t="e">
        <f t="shared" ref="I3:I13" si="2">(G3/C3)*100%</f>
        <v>#DIV/0!</v>
      </c>
      <c r="J3" s="13" t="e">
        <f t="shared" ref="J3:J13" si="3">(H3/C3)*100%</f>
        <v>#DIV/0!</v>
      </c>
    </row>
    <row r="4" spans="1:26" ht="15.75" customHeight="1" x14ac:dyDescent="0.25">
      <c r="A4" s="8">
        <v>2</v>
      </c>
      <c r="B4" s="9" t="s">
        <v>12</v>
      </c>
      <c r="C4" s="10"/>
      <c r="D4" s="10"/>
      <c r="E4" s="10"/>
      <c r="F4" s="10"/>
      <c r="G4" s="11">
        <f t="shared" si="0"/>
        <v>0</v>
      </c>
      <c r="H4" s="12">
        <f t="shared" si="1"/>
        <v>0</v>
      </c>
      <c r="I4" s="13" t="e">
        <f t="shared" si="2"/>
        <v>#DIV/0!</v>
      </c>
      <c r="J4" s="13" t="e">
        <f t="shared" si="3"/>
        <v>#DIV/0!</v>
      </c>
    </row>
    <row r="5" spans="1:26" ht="15.75" customHeight="1" x14ac:dyDescent="0.25">
      <c r="A5" s="8">
        <v>3</v>
      </c>
      <c r="B5" s="9" t="s">
        <v>13</v>
      </c>
      <c r="C5" s="10"/>
      <c r="D5" s="10"/>
      <c r="E5" s="10"/>
      <c r="F5" s="10"/>
      <c r="G5" s="11">
        <f t="shared" si="0"/>
        <v>0</v>
      </c>
      <c r="H5" s="12">
        <f t="shared" si="1"/>
        <v>0</v>
      </c>
      <c r="I5" s="13" t="e">
        <f t="shared" si="2"/>
        <v>#DIV/0!</v>
      </c>
      <c r="J5" s="13" t="e">
        <f t="shared" si="3"/>
        <v>#DIV/0!</v>
      </c>
    </row>
    <row r="6" spans="1:26" ht="15.75" customHeight="1" x14ac:dyDescent="0.25">
      <c r="A6" s="8">
        <v>4</v>
      </c>
      <c r="B6" s="9" t="s">
        <v>14</v>
      </c>
      <c r="C6" s="10"/>
      <c r="D6" s="10"/>
      <c r="E6" s="10"/>
      <c r="F6" s="10"/>
      <c r="G6" s="11">
        <f t="shared" si="0"/>
        <v>0</v>
      </c>
      <c r="H6" s="12">
        <f t="shared" si="1"/>
        <v>0</v>
      </c>
      <c r="I6" s="13" t="e">
        <f t="shared" si="2"/>
        <v>#DIV/0!</v>
      </c>
      <c r="J6" s="13" t="e">
        <f t="shared" si="3"/>
        <v>#DIV/0!</v>
      </c>
    </row>
    <row r="7" spans="1:26" ht="15.75" customHeight="1" x14ac:dyDescent="0.25">
      <c r="A7" s="8">
        <v>5</v>
      </c>
      <c r="B7" s="9" t="s">
        <v>15</v>
      </c>
      <c r="C7" s="10"/>
      <c r="D7" s="10"/>
      <c r="E7" s="10"/>
      <c r="F7" s="10"/>
      <c r="G7" s="11">
        <f t="shared" si="0"/>
        <v>0</v>
      </c>
      <c r="H7" s="12">
        <f t="shared" si="1"/>
        <v>0</v>
      </c>
      <c r="I7" s="13" t="e">
        <f t="shared" si="2"/>
        <v>#DIV/0!</v>
      </c>
      <c r="J7" s="13" t="e">
        <f t="shared" si="3"/>
        <v>#DIV/0!</v>
      </c>
    </row>
    <row r="8" spans="1:26" ht="15.75" customHeight="1" x14ac:dyDescent="0.25">
      <c r="A8" s="8">
        <v>6</v>
      </c>
      <c r="B8" s="9" t="s">
        <v>16</v>
      </c>
      <c r="C8" s="10"/>
      <c r="D8" s="10"/>
      <c r="E8" s="10"/>
      <c r="F8" s="10"/>
      <c r="G8" s="11">
        <f t="shared" si="0"/>
        <v>0</v>
      </c>
      <c r="H8" s="12">
        <f t="shared" si="1"/>
        <v>0</v>
      </c>
      <c r="I8" s="13" t="e">
        <f t="shared" si="2"/>
        <v>#DIV/0!</v>
      </c>
      <c r="J8" s="13" t="e">
        <f t="shared" si="3"/>
        <v>#DIV/0!</v>
      </c>
    </row>
    <row r="9" spans="1:26" ht="15.75" customHeight="1" x14ac:dyDescent="0.25">
      <c r="A9" s="8">
        <v>7</v>
      </c>
      <c r="B9" s="9" t="s">
        <v>17</v>
      </c>
      <c r="C9" s="10"/>
      <c r="D9" s="10"/>
      <c r="E9" s="10"/>
      <c r="F9" s="10"/>
      <c r="G9" s="11">
        <f t="shared" si="0"/>
        <v>0</v>
      </c>
      <c r="H9" s="12">
        <f t="shared" si="1"/>
        <v>0</v>
      </c>
      <c r="I9" s="13" t="e">
        <f t="shared" si="2"/>
        <v>#DIV/0!</v>
      </c>
      <c r="J9" s="13" t="e">
        <f t="shared" si="3"/>
        <v>#DIV/0!</v>
      </c>
    </row>
    <row r="10" spans="1:26" ht="15.75" customHeight="1" x14ac:dyDescent="0.25">
      <c r="A10" s="8">
        <v>8</v>
      </c>
      <c r="B10" s="9" t="s">
        <v>18</v>
      </c>
      <c r="C10" s="10"/>
      <c r="D10" s="10"/>
      <c r="E10" s="10"/>
      <c r="F10" s="10"/>
      <c r="G10" s="11">
        <f t="shared" si="0"/>
        <v>0</v>
      </c>
      <c r="H10" s="12">
        <f t="shared" si="1"/>
        <v>0</v>
      </c>
      <c r="I10" s="13" t="e">
        <f t="shared" si="2"/>
        <v>#DIV/0!</v>
      </c>
      <c r="J10" s="13" t="e">
        <f t="shared" si="3"/>
        <v>#DIV/0!</v>
      </c>
    </row>
    <row r="11" spans="1:26" ht="15.75" customHeight="1" x14ac:dyDescent="0.25">
      <c r="A11" s="8">
        <v>9</v>
      </c>
      <c r="B11" s="9" t="s">
        <v>19</v>
      </c>
      <c r="C11" s="10"/>
      <c r="D11" s="10"/>
      <c r="E11" s="10"/>
      <c r="F11" s="10"/>
      <c r="G11" s="11">
        <f t="shared" si="0"/>
        <v>0</v>
      </c>
      <c r="H11" s="12">
        <f t="shared" si="1"/>
        <v>0</v>
      </c>
      <c r="I11" s="13" t="e">
        <f t="shared" si="2"/>
        <v>#DIV/0!</v>
      </c>
      <c r="J11" s="13" t="e">
        <f t="shared" si="3"/>
        <v>#DIV/0!</v>
      </c>
    </row>
    <row r="12" spans="1:26" ht="15.75" customHeight="1" x14ac:dyDescent="0.25">
      <c r="A12" s="8">
        <v>10</v>
      </c>
      <c r="B12" s="9" t="s">
        <v>20</v>
      </c>
      <c r="C12" s="10"/>
      <c r="D12" s="10"/>
      <c r="E12" s="10"/>
      <c r="F12" s="10"/>
      <c r="G12" s="11">
        <f t="shared" si="0"/>
        <v>0</v>
      </c>
      <c r="H12" s="12">
        <f t="shared" si="1"/>
        <v>0</v>
      </c>
      <c r="I12" s="13" t="e">
        <f t="shared" si="2"/>
        <v>#DIV/0!</v>
      </c>
      <c r="J12" s="13" t="e">
        <f t="shared" si="3"/>
        <v>#DIV/0!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0</v>
      </c>
      <c r="D13" s="17">
        <f t="shared" si="4"/>
        <v>0</v>
      </c>
      <c r="E13" s="17">
        <f t="shared" si="4"/>
        <v>0</v>
      </c>
      <c r="F13" s="17">
        <f t="shared" si="4"/>
        <v>0</v>
      </c>
      <c r="G13" s="17">
        <f t="shared" si="4"/>
        <v>0</v>
      </c>
      <c r="H13" s="17">
        <f t="shared" si="4"/>
        <v>0</v>
      </c>
      <c r="I13" s="18" t="e">
        <f t="shared" si="2"/>
        <v>#DIV/0!</v>
      </c>
      <c r="J13" s="18" t="e">
        <f t="shared" si="3"/>
        <v>#DIV/0!</v>
      </c>
    </row>
    <row r="14" spans="1:26" ht="15.75" customHeight="1" x14ac:dyDescent="0.25">
      <c r="A14" s="1"/>
      <c r="B14" s="19" t="s">
        <v>75</v>
      </c>
      <c r="C14" s="20">
        <f>H13</f>
        <v>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22"/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/>
      <c r="D19" s="10"/>
      <c r="E19" s="11"/>
      <c r="F19" s="13" t="e">
        <f t="shared" ref="F19:F27" si="5">(D19/C19)*100%</f>
        <v>#DIV/0!</v>
      </c>
      <c r="G19" s="13" t="e">
        <f t="shared" ref="G19:G27" si="6">(E19/C19)*100%</f>
        <v>#DIV/0!</v>
      </c>
      <c r="H19" s="3"/>
      <c r="I19" s="3"/>
      <c r="J19" s="3"/>
    </row>
    <row r="20" spans="1:26" ht="15" x14ac:dyDescent="0.25">
      <c r="A20" s="8">
        <v>2</v>
      </c>
      <c r="B20" s="9" t="s">
        <v>12</v>
      </c>
      <c r="C20" s="10"/>
      <c r="D20" s="10"/>
      <c r="E20" s="11"/>
      <c r="F20" s="13" t="e">
        <f t="shared" si="5"/>
        <v>#DIV/0!</v>
      </c>
      <c r="G20" s="13" t="e">
        <f t="shared" si="6"/>
        <v>#DIV/0!</v>
      </c>
      <c r="H20" s="3"/>
      <c r="I20" s="3"/>
      <c r="J20" s="3"/>
    </row>
    <row r="21" spans="1:26" ht="15" x14ac:dyDescent="0.25">
      <c r="A21" s="8">
        <v>3</v>
      </c>
      <c r="B21" s="9" t="s">
        <v>13</v>
      </c>
      <c r="C21" s="10"/>
      <c r="D21" s="10"/>
      <c r="E21" s="11"/>
      <c r="F21" s="13" t="e">
        <f t="shared" si="5"/>
        <v>#DIV/0!</v>
      </c>
      <c r="G21" s="13" t="e">
        <f t="shared" si="6"/>
        <v>#DIV/0!</v>
      </c>
      <c r="H21" s="3"/>
      <c r="I21" s="3"/>
      <c r="J21" s="3"/>
    </row>
    <row r="22" spans="1:26" ht="15" x14ac:dyDescent="0.25">
      <c r="A22" s="8">
        <v>4</v>
      </c>
      <c r="B22" s="9" t="s">
        <v>14</v>
      </c>
      <c r="C22" s="10"/>
      <c r="D22" s="10"/>
      <c r="E22" s="11"/>
      <c r="F22" s="13" t="e">
        <f t="shared" si="5"/>
        <v>#DIV/0!</v>
      </c>
      <c r="G22" s="13" t="e">
        <f t="shared" si="6"/>
        <v>#DIV/0!</v>
      </c>
      <c r="H22" s="3"/>
      <c r="I22" s="3"/>
      <c r="J22" s="3"/>
    </row>
    <row r="23" spans="1:26" ht="15" x14ac:dyDescent="0.25">
      <c r="A23" s="8">
        <v>5</v>
      </c>
      <c r="B23" s="9" t="s">
        <v>15</v>
      </c>
      <c r="C23" s="10"/>
      <c r="D23" s="10"/>
      <c r="E23" s="11"/>
      <c r="F23" s="13" t="e">
        <f t="shared" si="5"/>
        <v>#DIV/0!</v>
      </c>
      <c r="G23" s="13" t="e">
        <f t="shared" si="6"/>
        <v>#DIV/0!</v>
      </c>
      <c r="H23" s="3"/>
      <c r="I23" s="3"/>
      <c r="J23" s="3"/>
    </row>
    <row r="24" spans="1:26" ht="15" x14ac:dyDescent="0.25">
      <c r="A24" s="8">
        <v>6</v>
      </c>
      <c r="B24" s="9" t="s">
        <v>16</v>
      </c>
      <c r="C24" s="10"/>
      <c r="D24" s="10"/>
      <c r="E24" s="11"/>
      <c r="F24" s="13" t="e">
        <f t="shared" si="5"/>
        <v>#DIV/0!</v>
      </c>
      <c r="G24" s="13" t="e">
        <f t="shared" si="6"/>
        <v>#DIV/0!</v>
      </c>
      <c r="H24" s="3"/>
      <c r="I24" s="3"/>
      <c r="J24" s="3"/>
    </row>
    <row r="25" spans="1:26" ht="15" x14ac:dyDescent="0.25">
      <c r="A25" s="8">
        <v>7</v>
      </c>
      <c r="B25" s="9" t="s">
        <v>17</v>
      </c>
      <c r="C25" s="10"/>
      <c r="D25" s="10"/>
      <c r="E25" s="11"/>
      <c r="F25" s="13" t="e">
        <f t="shared" si="5"/>
        <v>#DIV/0!</v>
      </c>
      <c r="G25" s="13" t="e">
        <f t="shared" si="6"/>
        <v>#DIV/0!</v>
      </c>
      <c r="H25" s="3"/>
      <c r="I25" s="3"/>
      <c r="J25" s="3"/>
    </row>
    <row r="26" spans="1:26" ht="15" x14ac:dyDescent="0.25">
      <c r="A26" s="8">
        <v>8</v>
      </c>
      <c r="B26" s="9" t="s">
        <v>18</v>
      </c>
      <c r="C26" s="10"/>
      <c r="D26" s="10"/>
      <c r="E26" s="11"/>
      <c r="F26" s="13" t="e">
        <f t="shared" si="5"/>
        <v>#DIV/0!</v>
      </c>
      <c r="G26" s="13" t="e">
        <f t="shared" si="6"/>
        <v>#DIV/0!</v>
      </c>
      <c r="H26" s="3"/>
      <c r="I26" s="3"/>
      <c r="J26" s="3"/>
    </row>
    <row r="27" spans="1:26" ht="15" x14ac:dyDescent="0.25">
      <c r="A27" s="8">
        <v>9</v>
      </c>
      <c r="B27" s="9" t="s">
        <v>19</v>
      </c>
      <c r="C27" s="10"/>
      <c r="D27" s="10"/>
      <c r="E27" s="11"/>
      <c r="F27" s="13" t="e">
        <f t="shared" si="5"/>
        <v>#DIV/0!</v>
      </c>
      <c r="G27" s="13" t="e">
        <f t="shared" si="6"/>
        <v>#DIV/0!</v>
      </c>
      <c r="H27" s="3"/>
      <c r="I27" s="3"/>
      <c r="J27" s="3"/>
    </row>
    <row r="28" spans="1:26" ht="15" x14ac:dyDescent="0.25">
      <c r="A28" s="8">
        <v>10</v>
      </c>
      <c r="B28" s="9" t="s">
        <v>20</v>
      </c>
      <c r="C28" s="10"/>
      <c r="D28" s="10"/>
      <c r="E28" s="11"/>
      <c r="F28" s="8"/>
      <c r="G28" s="13"/>
      <c r="H28" s="3"/>
      <c r="I28" s="3"/>
      <c r="J28" s="3"/>
    </row>
    <row r="29" spans="1:26" ht="15" x14ac:dyDescent="0.25">
      <c r="A29" s="9"/>
      <c r="B29" s="16" t="s">
        <v>21</v>
      </c>
      <c r="C29" s="17">
        <f t="shared" ref="C29:E29" si="7">SUM(C19:C28)</f>
        <v>0</v>
      </c>
      <c r="D29" s="17">
        <f t="shared" si="7"/>
        <v>0</v>
      </c>
      <c r="E29" s="17">
        <f t="shared" si="7"/>
        <v>0</v>
      </c>
      <c r="F29" s="23">
        <v>0.25</v>
      </c>
      <c r="G29" s="23">
        <v>0.75</v>
      </c>
      <c r="H29" s="3"/>
      <c r="I29" s="3"/>
      <c r="J29" s="3"/>
    </row>
    <row r="30" spans="1:26" ht="15" x14ac:dyDescent="0.25">
      <c r="A30" s="3"/>
      <c r="B30" s="19" t="s">
        <v>30</v>
      </c>
      <c r="C30" s="20">
        <f>E29</f>
        <v>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87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/>
      <c r="D35" s="8"/>
      <c r="E35" s="8"/>
      <c r="F35" s="8">
        <f t="shared" ref="F35:F44" si="8">C35-D35-E35</f>
        <v>0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/>
      <c r="D36" s="8"/>
      <c r="E36" s="8"/>
      <c r="F36" s="8">
        <f t="shared" si="8"/>
        <v>0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/>
      <c r="D37" s="8"/>
      <c r="E37" s="8"/>
      <c r="F37" s="8">
        <f t="shared" si="8"/>
        <v>0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/>
      <c r="D38" s="8"/>
      <c r="E38" s="8"/>
      <c r="F38" s="8">
        <f t="shared" si="8"/>
        <v>0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/>
      <c r="D39" s="8"/>
      <c r="E39" s="8"/>
      <c r="F39" s="8">
        <f t="shared" si="8"/>
        <v>0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/>
      <c r="D40" s="8"/>
      <c r="E40" s="8"/>
      <c r="F40" s="8">
        <f t="shared" si="8"/>
        <v>0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/>
      <c r="D41" s="8"/>
      <c r="E41" s="8"/>
      <c r="F41" s="8">
        <f t="shared" si="8"/>
        <v>0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/>
      <c r="D42" s="8"/>
      <c r="E42" s="8"/>
      <c r="F42" s="8">
        <f t="shared" si="8"/>
        <v>0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/>
      <c r="D43" s="8"/>
      <c r="E43" s="8"/>
      <c r="F43" s="8">
        <f t="shared" si="8"/>
        <v>0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/>
      <c r="D44" s="8"/>
      <c r="E44" s="8"/>
      <c r="F44" s="8">
        <f t="shared" si="8"/>
        <v>0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9">SUM(C35:C44)</f>
        <v>0</v>
      </c>
      <c r="D45" s="25">
        <f t="shared" si="9"/>
        <v>0</v>
      </c>
      <c r="E45" s="25">
        <f t="shared" si="9"/>
        <v>0</v>
      </c>
      <c r="F45" s="25">
        <f t="shared" si="9"/>
        <v>0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88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89</v>
      </c>
      <c r="G49" s="4" t="s">
        <v>79</v>
      </c>
      <c r="H49" s="4" t="s">
        <v>80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0">F3</f>
        <v>0</v>
      </c>
      <c r="D50" s="10">
        <f t="shared" ref="D50:D59" si="11">D19</f>
        <v>0</v>
      </c>
      <c r="E50" s="10"/>
      <c r="F50" s="10">
        <f t="shared" ref="F50:F59" si="12">C50+D50+E50</f>
        <v>0</v>
      </c>
      <c r="G50" s="14"/>
      <c r="H50" s="10">
        <f t="shared" ref="H50:H59" si="13">F50-G50</f>
        <v>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0"/>
        <v>0</v>
      </c>
      <c r="D51" s="10">
        <f t="shared" si="11"/>
        <v>0</v>
      </c>
      <c r="E51" s="10"/>
      <c r="F51" s="10">
        <f t="shared" si="12"/>
        <v>0</v>
      </c>
      <c r="G51" s="14"/>
      <c r="H51" s="10">
        <f t="shared" si="13"/>
        <v>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0"/>
        <v>0</v>
      </c>
      <c r="D52" s="10">
        <f t="shared" si="11"/>
        <v>0</v>
      </c>
      <c r="E52" s="10"/>
      <c r="F52" s="10">
        <f t="shared" si="12"/>
        <v>0</v>
      </c>
      <c r="G52" s="14"/>
      <c r="H52" s="10">
        <f t="shared" si="13"/>
        <v>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0"/>
        <v>0</v>
      </c>
      <c r="D53" s="10">
        <f t="shared" si="11"/>
        <v>0</v>
      </c>
      <c r="E53" s="10"/>
      <c r="F53" s="10">
        <f t="shared" si="12"/>
        <v>0</v>
      </c>
      <c r="G53" s="14"/>
      <c r="H53" s="10">
        <f t="shared" si="13"/>
        <v>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0"/>
        <v>0</v>
      </c>
      <c r="D54" s="10">
        <f t="shared" si="11"/>
        <v>0</v>
      </c>
      <c r="E54" s="10"/>
      <c r="F54" s="10">
        <f t="shared" si="12"/>
        <v>0</v>
      </c>
      <c r="G54" s="14"/>
      <c r="H54" s="10">
        <f t="shared" si="13"/>
        <v>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0"/>
        <v>0</v>
      </c>
      <c r="D55" s="10">
        <f t="shared" si="11"/>
        <v>0</v>
      </c>
      <c r="E55" s="10"/>
      <c r="F55" s="10">
        <f t="shared" si="12"/>
        <v>0</v>
      </c>
      <c r="G55" s="14"/>
      <c r="H55" s="10">
        <f t="shared" si="13"/>
        <v>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0"/>
        <v>0</v>
      </c>
      <c r="D56" s="10">
        <f t="shared" si="11"/>
        <v>0</v>
      </c>
      <c r="E56" s="10"/>
      <c r="F56" s="10">
        <f t="shared" si="12"/>
        <v>0</v>
      </c>
      <c r="G56" s="10"/>
      <c r="H56" s="10">
        <f t="shared" si="13"/>
        <v>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0"/>
        <v>0</v>
      </c>
      <c r="D57" s="10">
        <f t="shared" si="11"/>
        <v>0</v>
      </c>
      <c r="E57" s="10"/>
      <c r="F57" s="10">
        <f t="shared" si="12"/>
        <v>0</v>
      </c>
      <c r="G57" s="10"/>
      <c r="H57" s="10">
        <f t="shared" si="13"/>
        <v>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0"/>
        <v>0</v>
      </c>
      <c r="D58" s="10">
        <f t="shared" si="11"/>
        <v>0</v>
      </c>
      <c r="E58" s="10"/>
      <c r="F58" s="10">
        <f t="shared" si="12"/>
        <v>0</v>
      </c>
      <c r="G58" s="14"/>
      <c r="H58" s="10">
        <f t="shared" si="13"/>
        <v>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0"/>
        <v>0</v>
      </c>
      <c r="D59" s="10">
        <f t="shared" si="11"/>
        <v>0</v>
      </c>
      <c r="E59" s="10"/>
      <c r="F59" s="10">
        <f t="shared" si="12"/>
        <v>0</v>
      </c>
      <c r="G59" s="14"/>
      <c r="H59" s="10">
        <f t="shared" si="13"/>
        <v>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4">SUM(C50:C59)</f>
        <v>0</v>
      </c>
      <c r="D60" s="17">
        <f t="shared" si="14"/>
        <v>0</v>
      </c>
      <c r="E60" s="17">
        <f t="shared" si="14"/>
        <v>0</v>
      </c>
      <c r="F60" s="17">
        <f t="shared" si="14"/>
        <v>0</v>
      </c>
      <c r="G60" s="17">
        <f t="shared" si="14"/>
        <v>0</v>
      </c>
      <c r="H60" s="17">
        <f t="shared" si="14"/>
        <v>0</v>
      </c>
      <c r="I60" s="3"/>
      <c r="J60" s="3"/>
    </row>
    <row r="61" spans="1:26" ht="15" x14ac:dyDescent="0.25">
      <c r="A61" s="1"/>
      <c r="B61" s="16" t="s">
        <v>21</v>
      </c>
      <c r="C61" s="17">
        <f>F60</f>
        <v>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84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85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86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/>
      <c r="D3" s="10"/>
      <c r="E3" s="10"/>
      <c r="F3" s="10"/>
      <c r="G3" s="11">
        <f t="shared" ref="G3:G12" si="0">D3+E3+F3</f>
        <v>0</v>
      </c>
      <c r="H3" s="12">
        <f t="shared" ref="H3:H12" si="1">C3-G3</f>
        <v>0</v>
      </c>
      <c r="I3" s="13" t="e">
        <f t="shared" ref="I3:I13" si="2">(G3/C3)*100%</f>
        <v>#DIV/0!</v>
      </c>
      <c r="J3" s="13" t="e">
        <f t="shared" ref="J3:J13" si="3">(H3/C3)*100%</f>
        <v>#DIV/0!</v>
      </c>
    </row>
    <row r="4" spans="1:26" ht="15.75" customHeight="1" x14ac:dyDescent="0.25">
      <c r="A4" s="8">
        <v>2</v>
      </c>
      <c r="B4" s="9" t="s">
        <v>12</v>
      </c>
      <c r="C4" s="10"/>
      <c r="D4" s="10"/>
      <c r="E4" s="10"/>
      <c r="F4" s="10"/>
      <c r="G4" s="11">
        <f t="shared" si="0"/>
        <v>0</v>
      </c>
      <c r="H4" s="12">
        <f t="shared" si="1"/>
        <v>0</v>
      </c>
      <c r="I4" s="13" t="e">
        <f t="shared" si="2"/>
        <v>#DIV/0!</v>
      </c>
      <c r="J4" s="13" t="e">
        <f t="shared" si="3"/>
        <v>#DIV/0!</v>
      </c>
    </row>
    <row r="5" spans="1:26" ht="15.75" customHeight="1" x14ac:dyDescent="0.25">
      <c r="A5" s="8">
        <v>3</v>
      </c>
      <c r="B5" s="9" t="s">
        <v>13</v>
      </c>
      <c r="C5" s="10"/>
      <c r="D5" s="10"/>
      <c r="E5" s="10"/>
      <c r="F5" s="10"/>
      <c r="G5" s="11">
        <f t="shared" si="0"/>
        <v>0</v>
      </c>
      <c r="H5" s="12">
        <f t="shared" si="1"/>
        <v>0</v>
      </c>
      <c r="I5" s="13" t="e">
        <f t="shared" si="2"/>
        <v>#DIV/0!</v>
      </c>
      <c r="J5" s="13" t="e">
        <f t="shared" si="3"/>
        <v>#DIV/0!</v>
      </c>
    </row>
    <row r="6" spans="1:26" ht="15.75" customHeight="1" x14ac:dyDescent="0.25">
      <c r="A6" s="8">
        <v>4</v>
      </c>
      <c r="B6" s="9" t="s">
        <v>14</v>
      </c>
      <c r="C6" s="10"/>
      <c r="D6" s="10"/>
      <c r="E6" s="10"/>
      <c r="F6" s="10"/>
      <c r="G6" s="11">
        <f t="shared" si="0"/>
        <v>0</v>
      </c>
      <c r="H6" s="12">
        <f t="shared" si="1"/>
        <v>0</v>
      </c>
      <c r="I6" s="13" t="e">
        <f t="shared" si="2"/>
        <v>#DIV/0!</v>
      </c>
      <c r="J6" s="13" t="e">
        <f t="shared" si="3"/>
        <v>#DIV/0!</v>
      </c>
    </row>
    <row r="7" spans="1:26" ht="15.75" customHeight="1" x14ac:dyDescent="0.25">
      <c r="A7" s="8">
        <v>5</v>
      </c>
      <c r="B7" s="9" t="s">
        <v>15</v>
      </c>
      <c r="C7" s="10"/>
      <c r="D7" s="10"/>
      <c r="E7" s="10"/>
      <c r="F7" s="10"/>
      <c r="G7" s="11">
        <f t="shared" si="0"/>
        <v>0</v>
      </c>
      <c r="H7" s="12">
        <f t="shared" si="1"/>
        <v>0</v>
      </c>
      <c r="I7" s="13" t="e">
        <f t="shared" si="2"/>
        <v>#DIV/0!</v>
      </c>
      <c r="J7" s="13" t="e">
        <f t="shared" si="3"/>
        <v>#DIV/0!</v>
      </c>
    </row>
    <row r="8" spans="1:26" ht="15.75" customHeight="1" x14ac:dyDescent="0.25">
      <c r="A8" s="8">
        <v>6</v>
      </c>
      <c r="B8" s="9" t="s">
        <v>16</v>
      </c>
      <c r="C8" s="10"/>
      <c r="D8" s="10"/>
      <c r="E8" s="10"/>
      <c r="F8" s="10"/>
      <c r="G8" s="11">
        <f t="shared" si="0"/>
        <v>0</v>
      </c>
      <c r="H8" s="12">
        <f t="shared" si="1"/>
        <v>0</v>
      </c>
      <c r="I8" s="13" t="e">
        <f t="shared" si="2"/>
        <v>#DIV/0!</v>
      </c>
      <c r="J8" s="13" t="e">
        <f t="shared" si="3"/>
        <v>#DIV/0!</v>
      </c>
    </row>
    <row r="9" spans="1:26" ht="15.75" customHeight="1" x14ac:dyDescent="0.25">
      <c r="A9" s="8">
        <v>7</v>
      </c>
      <c r="B9" s="9" t="s">
        <v>17</v>
      </c>
      <c r="C9" s="10"/>
      <c r="D9" s="10"/>
      <c r="E9" s="10"/>
      <c r="F9" s="10"/>
      <c r="G9" s="11">
        <f t="shared" si="0"/>
        <v>0</v>
      </c>
      <c r="H9" s="12">
        <f t="shared" si="1"/>
        <v>0</v>
      </c>
      <c r="I9" s="13" t="e">
        <f t="shared" si="2"/>
        <v>#DIV/0!</v>
      </c>
      <c r="J9" s="13" t="e">
        <f t="shared" si="3"/>
        <v>#DIV/0!</v>
      </c>
    </row>
    <row r="10" spans="1:26" ht="15.75" customHeight="1" x14ac:dyDescent="0.25">
      <c r="A10" s="8">
        <v>8</v>
      </c>
      <c r="B10" s="9" t="s">
        <v>18</v>
      </c>
      <c r="C10" s="10"/>
      <c r="D10" s="10"/>
      <c r="E10" s="10"/>
      <c r="F10" s="10"/>
      <c r="G10" s="11">
        <f t="shared" si="0"/>
        <v>0</v>
      </c>
      <c r="H10" s="12">
        <f t="shared" si="1"/>
        <v>0</v>
      </c>
      <c r="I10" s="13" t="e">
        <f t="shared" si="2"/>
        <v>#DIV/0!</v>
      </c>
      <c r="J10" s="13" t="e">
        <f t="shared" si="3"/>
        <v>#DIV/0!</v>
      </c>
    </row>
    <row r="11" spans="1:26" ht="15.75" customHeight="1" x14ac:dyDescent="0.25">
      <c r="A11" s="8">
        <v>9</v>
      </c>
      <c r="B11" s="9" t="s">
        <v>19</v>
      </c>
      <c r="C11" s="10"/>
      <c r="D11" s="10"/>
      <c r="E11" s="10"/>
      <c r="F11" s="10"/>
      <c r="G11" s="11">
        <f t="shared" si="0"/>
        <v>0</v>
      </c>
      <c r="H11" s="12">
        <f t="shared" si="1"/>
        <v>0</v>
      </c>
      <c r="I11" s="13" t="e">
        <f t="shared" si="2"/>
        <v>#DIV/0!</v>
      </c>
      <c r="J11" s="13" t="e">
        <f t="shared" si="3"/>
        <v>#DIV/0!</v>
      </c>
    </row>
    <row r="12" spans="1:26" ht="15.75" customHeight="1" x14ac:dyDescent="0.25">
      <c r="A12" s="8">
        <v>10</v>
      </c>
      <c r="B12" s="9" t="s">
        <v>20</v>
      </c>
      <c r="C12" s="10"/>
      <c r="D12" s="10"/>
      <c r="E12" s="10"/>
      <c r="F12" s="10"/>
      <c r="G12" s="11">
        <f t="shared" si="0"/>
        <v>0</v>
      </c>
      <c r="H12" s="12">
        <f t="shared" si="1"/>
        <v>0</v>
      </c>
      <c r="I12" s="13" t="e">
        <f t="shared" si="2"/>
        <v>#DIV/0!</v>
      </c>
      <c r="J12" s="13" t="e">
        <f t="shared" si="3"/>
        <v>#DIV/0!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0</v>
      </c>
      <c r="D13" s="17">
        <f t="shared" si="4"/>
        <v>0</v>
      </c>
      <c r="E13" s="17">
        <f t="shared" si="4"/>
        <v>0</v>
      </c>
      <c r="F13" s="17">
        <f t="shared" si="4"/>
        <v>0</v>
      </c>
      <c r="G13" s="17">
        <f t="shared" si="4"/>
        <v>0</v>
      </c>
      <c r="H13" s="17">
        <f t="shared" si="4"/>
        <v>0</v>
      </c>
      <c r="I13" s="18" t="e">
        <f t="shared" si="2"/>
        <v>#DIV/0!</v>
      </c>
      <c r="J13" s="18" t="e">
        <f t="shared" si="3"/>
        <v>#DIV/0!</v>
      </c>
    </row>
    <row r="14" spans="1:26" ht="15.75" customHeight="1" x14ac:dyDescent="0.25">
      <c r="A14" s="1"/>
      <c r="B14" s="19" t="s">
        <v>75</v>
      </c>
      <c r="C14" s="20">
        <f>H13</f>
        <v>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22"/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/>
      <c r="D19" s="10"/>
      <c r="E19" s="11">
        <f t="shared" ref="E19:E28" si="5">C19-D19</f>
        <v>0</v>
      </c>
      <c r="F19" s="13" t="e">
        <f t="shared" ref="F19:F27" si="6">(D19/C19)*100%</f>
        <v>#DIV/0!</v>
      </c>
      <c r="G19" s="13" t="e">
        <f t="shared" ref="G19:G27" si="7">(E19/C19)*100%</f>
        <v>#DIV/0!</v>
      </c>
      <c r="H19" s="3"/>
      <c r="I19" s="3"/>
      <c r="J19" s="3"/>
    </row>
    <row r="20" spans="1:26" ht="15" x14ac:dyDescent="0.25">
      <c r="A20" s="8">
        <v>2</v>
      </c>
      <c r="B20" s="9" t="s">
        <v>12</v>
      </c>
      <c r="C20" s="10"/>
      <c r="D20" s="10"/>
      <c r="E20" s="11">
        <f t="shared" si="5"/>
        <v>0</v>
      </c>
      <c r="F20" s="13" t="e">
        <f t="shared" si="6"/>
        <v>#DIV/0!</v>
      </c>
      <c r="G20" s="13" t="e">
        <f t="shared" si="7"/>
        <v>#DIV/0!</v>
      </c>
      <c r="H20" s="3"/>
      <c r="I20" s="3"/>
      <c r="J20" s="3"/>
    </row>
    <row r="21" spans="1:26" ht="15" x14ac:dyDescent="0.25">
      <c r="A21" s="8">
        <v>3</v>
      </c>
      <c r="B21" s="9" t="s">
        <v>13</v>
      </c>
      <c r="C21" s="10"/>
      <c r="D21" s="10"/>
      <c r="E21" s="11">
        <f t="shared" si="5"/>
        <v>0</v>
      </c>
      <c r="F21" s="13" t="e">
        <f t="shared" si="6"/>
        <v>#DIV/0!</v>
      </c>
      <c r="G21" s="13" t="e">
        <f t="shared" si="7"/>
        <v>#DIV/0!</v>
      </c>
      <c r="H21" s="3"/>
      <c r="I21" s="3"/>
      <c r="J21" s="3"/>
    </row>
    <row r="22" spans="1:26" ht="15" x14ac:dyDescent="0.25">
      <c r="A22" s="8">
        <v>4</v>
      </c>
      <c r="B22" s="9" t="s">
        <v>14</v>
      </c>
      <c r="C22" s="10"/>
      <c r="D22" s="10"/>
      <c r="E22" s="11">
        <f t="shared" si="5"/>
        <v>0</v>
      </c>
      <c r="F22" s="13" t="e">
        <f t="shared" si="6"/>
        <v>#DIV/0!</v>
      </c>
      <c r="G22" s="13" t="e">
        <f t="shared" si="7"/>
        <v>#DIV/0!</v>
      </c>
      <c r="H22" s="3"/>
      <c r="I22" s="3"/>
      <c r="J22" s="3"/>
    </row>
    <row r="23" spans="1:26" ht="15" x14ac:dyDescent="0.25">
      <c r="A23" s="8">
        <v>5</v>
      </c>
      <c r="B23" s="9" t="s">
        <v>15</v>
      </c>
      <c r="C23" s="10"/>
      <c r="D23" s="10"/>
      <c r="E23" s="11">
        <f t="shared" si="5"/>
        <v>0</v>
      </c>
      <c r="F23" s="13" t="e">
        <f t="shared" si="6"/>
        <v>#DIV/0!</v>
      </c>
      <c r="G23" s="13" t="e">
        <f t="shared" si="7"/>
        <v>#DIV/0!</v>
      </c>
      <c r="H23" s="3"/>
      <c r="I23" s="3"/>
      <c r="J23" s="3"/>
    </row>
    <row r="24" spans="1:26" ht="15" x14ac:dyDescent="0.25">
      <c r="A24" s="8">
        <v>6</v>
      </c>
      <c r="B24" s="9" t="s">
        <v>16</v>
      </c>
      <c r="C24" s="10"/>
      <c r="D24" s="10"/>
      <c r="E24" s="11">
        <f t="shared" si="5"/>
        <v>0</v>
      </c>
      <c r="F24" s="13" t="e">
        <f t="shared" si="6"/>
        <v>#DIV/0!</v>
      </c>
      <c r="G24" s="13" t="e">
        <f t="shared" si="7"/>
        <v>#DIV/0!</v>
      </c>
      <c r="H24" s="3"/>
      <c r="I24" s="3"/>
      <c r="J24" s="3"/>
    </row>
    <row r="25" spans="1:26" ht="15" x14ac:dyDescent="0.25">
      <c r="A25" s="8">
        <v>7</v>
      </c>
      <c r="B25" s="9" t="s">
        <v>17</v>
      </c>
      <c r="C25" s="10"/>
      <c r="D25" s="10"/>
      <c r="E25" s="11">
        <f t="shared" si="5"/>
        <v>0</v>
      </c>
      <c r="F25" s="13" t="e">
        <f t="shared" si="6"/>
        <v>#DIV/0!</v>
      </c>
      <c r="G25" s="13" t="e">
        <f t="shared" si="7"/>
        <v>#DIV/0!</v>
      </c>
      <c r="H25" s="3"/>
      <c r="I25" s="3"/>
      <c r="J25" s="3"/>
    </row>
    <row r="26" spans="1:26" ht="15" x14ac:dyDescent="0.25">
      <c r="A26" s="8">
        <v>8</v>
      </c>
      <c r="B26" s="9" t="s">
        <v>18</v>
      </c>
      <c r="C26" s="10"/>
      <c r="D26" s="10"/>
      <c r="E26" s="11">
        <f t="shared" si="5"/>
        <v>0</v>
      </c>
      <c r="F26" s="13" t="e">
        <f t="shared" si="6"/>
        <v>#DIV/0!</v>
      </c>
      <c r="G26" s="13" t="e">
        <f t="shared" si="7"/>
        <v>#DIV/0!</v>
      </c>
      <c r="H26" s="3"/>
      <c r="I26" s="3"/>
      <c r="J26" s="3"/>
    </row>
    <row r="27" spans="1:26" ht="15" x14ac:dyDescent="0.25">
      <c r="A27" s="8">
        <v>9</v>
      </c>
      <c r="B27" s="9" t="s">
        <v>19</v>
      </c>
      <c r="C27" s="10"/>
      <c r="D27" s="10"/>
      <c r="E27" s="11">
        <f t="shared" si="5"/>
        <v>0</v>
      </c>
      <c r="F27" s="13" t="e">
        <f t="shared" si="6"/>
        <v>#DIV/0!</v>
      </c>
      <c r="G27" s="13" t="e">
        <f t="shared" si="7"/>
        <v>#DIV/0!</v>
      </c>
      <c r="H27" s="3"/>
      <c r="I27" s="3"/>
      <c r="J27" s="3"/>
    </row>
    <row r="28" spans="1:26" ht="15" x14ac:dyDescent="0.25">
      <c r="A28" s="8">
        <v>10</v>
      </c>
      <c r="B28" s="9" t="s">
        <v>20</v>
      </c>
      <c r="C28" s="10"/>
      <c r="D28" s="10"/>
      <c r="E28" s="11">
        <f t="shared" si="5"/>
        <v>0</v>
      </c>
      <c r="F28" s="8"/>
      <c r="G28" s="13"/>
      <c r="H28" s="3"/>
      <c r="I28" s="3"/>
      <c r="J28" s="3"/>
    </row>
    <row r="29" spans="1:26" ht="15" x14ac:dyDescent="0.25">
      <c r="A29" s="9"/>
      <c r="B29" s="16" t="s">
        <v>21</v>
      </c>
      <c r="C29" s="17">
        <f t="shared" ref="C29:E29" si="8">SUM(C19:C28)</f>
        <v>0</v>
      </c>
      <c r="D29" s="17">
        <f t="shared" si="8"/>
        <v>0</v>
      </c>
      <c r="E29" s="17">
        <f t="shared" si="8"/>
        <v>0</v>
      </c>
      <c r="F29" s="23">
        <v>0.25</v>
      </c>
      <c r="G29" s="23">
        <v>0.75</v>
      </c>
      <c r="H29" s="3"/>
      <c r="I29" s="3"/>
      <c r="J29" s="3"/>
    </row>
    <row r="30" spans="1:26" ht="15" x14ac:dyDescent="0.25">
      <c r="A30" s="3"/>
      <c r="B30" s="19" t="s">
        <v>30</v>
      </c>
      <c r="C30" s="20">
        <f>E29</f>
        <v>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90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/>
      <c r="D35" s="8"/>
      <c r="E35" s="8"/>
      <c r="F35" s="8">
        <f t="shared" ref="F35:F44" si="9">C35-D35-E35</f>
        <v>0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/>
      <c r="D36" s="8"/>
      <c r="E36" s="8"/>
      <c r="F36" s="8">
        <f t="shared" si="9"/>
        <v>0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/>
      <c r="D37" s="8"/>
      <c r="E37" s="8"/>
      <c r="F37" s="8">
        <f t="shared" si="9"/>
        <v>0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/>
      <c r="D38" s="8"/>
      <c r="E38" s="8"/>
      <c r="F38" s="8">
        <f t="shared" si="9"/>
        <v>0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/>
      <c r="D39" s="8"/>
      <c r="E39" s="8"/>
      <c r="F39" s="8">
        <f t="shared" si="9"/>
        <v>0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/>
      <c r="D40" s="8"/>
      <c r="E40" s="8"/>
      <c r="F40" s="8">
        <f t="shared" si="9"/>
        <v>0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/>
      <c r="D41" s="8"/>
      <c r="E41" s="8"/>
      <c r="F41" s="8">
        <f t="shared" si="9"/>
        <v>0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/>
      <c r="D42" s="8"/>
      <c r="E42" s="8"/>
      <c r="F42" s="8">
        <f t="shared" si="9"/>
        <v>0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/>
      <c r="D43" s="8"/>
      <c r="E43" s="8"/>
      <c r="F43" s="8">
        <f t="shared" si="9"/>
        <v>0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/>
      <c r="D44" s="8"/>
      <c r="E44" s="8"/>
      <c r="F44" s="8">
        <f t="shared" si="9"/>
        <v>0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10">SUM(C35:C44)</f>
        <v>0</v>
      </c>
      <c r="D45" s="25">
        <f t="shared" si="10"/>
        <v>0</v>
      </c>
      <c r="E45" s="25">
        <f t="shared" si="10"/>
        <v>0</v>
      </c>
      <c r="F45" s="25">
        <f t="shared" si="10"/>
        <v>0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91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78</v>
      </c>
      <c r="G49" s="4" t="s">
        <v>79</v>
      </c>
      <c r="H49" s="4" t="s">
        <v>80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1">F3</f>
        <v>0</v>
      </c>
      <c r="D50" s="10">
        <f t="shared" ref="D50:D59" si="12">D19</f>
        <v>0</v>
      </c>
      <c r="E50" s="10"/>
      <c r="F50" s="10">
        <f t="shared" ref="F50:F59" si="13">C50+D50+E50</f>
        <v>0</v>
      </c>
      <c r="G50" s="14"/>
      <c r="H50" s="10">
        <f t="shared" ref="H50:H59" si="14">F50-G50</f>
        <v>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1"/>
        <v>0</v>
      </c>
      <c r="D51" s="10">
        <f t="shared" si="12"/>
        <v>0</v>
      </c>
      <c r="E51" s="10"/>
      <c r="F51" s="10">
        <f t="shared" si="13"/>
        <v>0</v>
      </c>
      <c r="G51" s="14"/>
      <c r="H51" s="10">
        <f t="shared" si="14"/>
        <v>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1"/>
        <v>0</v>
      </c>
      <c r="D52" s="10">
        <f t="shared" si="12"/>
        <v>0</v>
      </c>
      <c r="E52" s="10"/>
      <c r="F52" s="10">
        <f t="shared" si="13"/>
        <v>0</v>
      </c>
      <c r="G52" s="14"/>
      <c r="H52" s="10">
        <f t="shared" si="14"/>
        <v>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1"/>
        <v>0</v>
      </c>
      <c r="D53" s="10">
        <f t="shared" si="12"/>
        <v>0</v>
      </c>
      <c r="E53" s="10"/>
      <c r="F53" s="10">
        <f t="shared" si="13"/>
        <v>0</v>
      </c>
      <c r="G53" s="14"/>
      <c r="H53" s="10">
        <f t="shared" si="14"/>
        <v>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1"/>
        <v>0</v>
      </c>
      <c r="D54" s="10">
        <f t="shared" si="12"/>
        <v>0</v>
      </c>
      <c r="E54" s="10"/>
      <c r="F54" s="10">
        <f t="shared" si="13"/>
        <v>0</v>
      </c>
      <c r="G54" s="14"/>
      <c r="H54" s="10">
        <f t="shared" si="14"/>
        <v>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1"/>
        <v>0</v>
      </c>
      <c r="D55" s="10">
        <f t="shared" si="12"/>
        <v>0</v>
      </c>
      <c r="E55" s="10"/>
      <c r="F55" s="10">
        <f t="shared" si="13"/>
        <v>0</v>
      </c>
      <c r="G55" s="14"/>
      <c r="H55" s="10">
        <f t="shared" si="14"/>
        <v>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1"/>
        <v>0</v>
      </c>
      <c r="D56" s="10">
        <f t="shared" si="12"/>
        <v>0</v>
      </c>
      <c r="E56" s="10"/>
      <c r="F56" s="10">
        <f t="shared" si="13"/>
        <v>0</v>
      </c>
      <c r="G56" s="10"/>
      <c r="H56" s="10">
        <f t="shared" si="14"/>
        <v>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1"/>
        <v>0</v>
      </c>
      <c r="D57" s="10">
        <f t="shared" si="12"/>
        <v>0</v>
      </c>
      <c r="E57" s="10"/>
      <c r="F57" s="10">
        <f t="shared" si="13"/>
        <v>0</v>
      </c>
      <c r="G57" s="10"/>
      <c r="H57" s="10">
        <f t="shared" si="14"/>
        <v>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1"/>
        <v>0</v>
      </c>
      <c r="D58" s="10">
        <f t="shared" si="12"/>
        <v>0</v>
      </c>
      <c r="E58" s="10"/>
      <c r="F58" s="10">
        <f t="shared" si="13"/>
        <v>0</v>
      </c>
      <c r="G58" s="14"/>
      <c r="H58" s="10">
        <f t="shared" si="14"/>
        <v>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1"/>
        <v>0</v>
      </c>
      <c r="D59" s="10">
        <f t="shared" si="12"/>
        <v>0</v>
      </c>
      <c r="E59" s="10"/>
      <c r="F59" s="10">
        <f t="shared" si="13"/>
        <v>0</v>
      </c>
      <c r="G59" s="14"/>
      <c r="H59" s="10">
        <f t="shared" si="14"/>
        <v>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5">SUM(C50:C59)</f>
        <v>0</v>
      </c>
      <c r="D60" s="17">
        <f t="shared" si="15"/>
        <v>0</v>
      </c>
      <c r="E60" s="17">
        <f t="shared" si="15"/>
        <v>0</v>
      </c>
      <c r="F60" s="17">
        <f t="shared" si="15"/>
        <v>0</v>
      </c>
      <c r="G60" s="17">
        <f t="shared" si="15"/>
        <v>0</v>
      </c>
      <c r="H60" s="17">
        <f t="shared" si="15"/>
        <v>0</v>
      </c>
      <c r="I60" s="3"/>
      <c r="J60" s="3"/>
    </row>
    <row r="61" spans="1:26" ht="15" x14ac:dyDescent="0.25">
      <c r="A61" s="1"/>
      <c r="B61" s="16" t="s">
        <v>21</v>
      </c>
      <c r="C61" s="17">
        <f>F60</f>
        <v>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92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73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94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/>
      <c r="D3" s="10"/>
      <c r="E3" s="10"/>
      <c r="F3" s="10"/>
      <c r="G3" s="11">
        <f t="shared" ref="G3:G12" si="0">D3+E3+F3</f>
        <v>0</v>
      </c>
      <c r="H3" s="12">
        <f t="shared" ref="H3:H12" si="1">C3-G3</f>
        <v>0</v>
      </c>
      <c r="I3" s="13" t="e">
        <f t="shared" ref="I3:I13" si="2">(G3/C3)*100%</f>
        <v>#DIV/0!</v>
      </c>
      <c r="J3" s="13" t="e">
        <f t="shared" ref="J3:J13" si="3">(H3/C3)*100%</f>
        <v>#DIV/0!</v>
      </c>
    </row>
    <row r="4" spans="1:26" ht="15.75" customHeight="1" x14ac:dyDescent="0.25">
      <c r="A4" s="8">
        <v>2</v>
      </c>
      <c r="B4" s="9" t="s">
        <v>12</v>
      </c>
      <c r="C4" s="10"/>
      <c r="D4" s="10"/>
      <c r="E4" s="10"/>
      <c r="F4" s="10"/>
      <c r="G4" s="11">
        <f t="shared" si="0"/>
        <v>0</v>
      </c>
      <c r="H4" s="12">
        <f t="shared" si="1"/>
        <v>0</v>
      </c>
      <c r="I4" s="13" t="e">
        <f t="shared" si="2"/>
        <v>#DIV/0!</v>
      </c>
      <c r="J4" s="13" t="e">
        <f t="shared" si="3"/>
        <v>#DIV/0!</v>
      </c>
    </row>
    <row r="5" spans="1:26" ht="15.75" customHeight="1" x14ac:dyDescent="0.25">
      <c r="A5" s="8">
        <v>3</v>
      </c>
      <c r="B5" s="9" t="s">
        <v>13</v>
      </c>
      <c r="C5" s="10"/>
      <c r="D5" s="10"/>
      <c r="E5" s="10"/>
      <c r="F5" s="10"/>
      <c r="G5" s="11">
        <f t="shared" si="0"/>
        <v>0</v>
      </c>
      <c r="H5" s="12">
        <f t="shared" si="1"/>
        <v>0</v>
      </c>
      <c r="I5" s="13" t="e">
        <f t="shared" si="2"/>
        <v>#DIV/0!</v>
      </c>
      <c r="J5" s="13" t="e">
        <f t="shared" si="3"/>
        <v>#DIV/0!</v>
      </c>
    </row>
    <row r="6" spans="1:26" ht="15.75" customHeight="1" x14ac:dyDescent="0.25">
      <c r="A6" s="8">
        <v>4</v>
      </c>
      <c r="B6" s="9" t="s">
        <v>14</v>
      </c>
      <c r="C6" s="10"/>
      <c r="D6" s="10"/>
      <c r="E6" s="10"/>
      <c r="F6" s="10"/>
      <c r="G6" s="11">
        <f t="shared" si="0"/>
        <v>0</v>
      </c>
      <c r="H6" s="12">
        <f t="shared" si="1"/>
        <v>0</v>
      </c>
      <c r="I6" s="13" t="e">
        <f t="shared" si="2"/>
        <v>#DIV/0!</v>
      </c>
      <c r="J6" s="13" t="e">
        <f t="shared" si="3"/>
        <v>#DIV/0!</v>
      </c>
    </row>
    <row r="7" spans="1:26" ht="15.75" customHeight="1" x14ac:dyDescent="0.25">
      <c r="A7" s="8">
        <v>5</v>
      </c>
      <c r="B7" s="9" t="s">
        <v>15</v>
      </c>
      <c r="C7" s="10"/>
      <c r="D7" s="10"/>
      <c r="E7" s="10"/>
      <c r="F7" s="10"/>
      <c r="G7" s="11">
        <f t="shared" si="0"/>
        <v>0</v>
      </c>
      <c r="H7" s="12">
        <f t="shared" si="1"/>
        <v>0</v>
      </c>
      <c r="I7" s="13" t="e">
        <f t="shared" si="2"/>
        <v>#DIV/0!</v>
      </c>
      <c r="J7" s="13" t="e">
        <f t="shared" si="3"/>
        <v>#DIV/0!</v>
      </c>
    </row>
    <row r="8" spans="1:26" ht="15.75" customHeight="1" x14ac:dyDescent="0.25">
      <c r="A8" s="8">
        <v>6</v>
      </c>
      <c r="B8" s="9" t="s">
        <v>16</v>
      </c>
      <c r="C8" s="10"/>
      <c r="D8" s="10"/>
      <c r="E8" s="10"/>
      <c r="F8" s="10"/>
      <c r="G8" s="11">
        <f t="shared" si="0"/>
        <v>0</v>
      </c>
      <c r="H8" s="12">
        <f t="shared" si="1"/>
        <v>0</v>
      </c>
      <c r="I8" s="13" t="e">
        <f t="shared" si="2"/>
        <v>#DIV/0!</v>
      </c>
      <c r="J8" s="13" t="e">
        <f t="shared" si="3"/>
        <v>#DIV/0!</v>
      </c>
    </row>
    <row r="9" spans="1:26" ht="15.75" customHeight="1" x14ac:dyDescent="0.25">
      <c r="A9" s="8">
        <v>7</v>
      </c>
      <c r="B9" s="9" t="s">
        <v>17</v>
      </c>
      <c r="C9" s="10"/>
      <c r="D9" s="10"/>
      <c r="E9" s="10"/>
      <c r="F9" s="10"/>
      <c r="G9" s="11">
        <f t="shared" si="0"/>
        <v>0</v>
      </c>
      <c r="H9" s="12">
        <f t="shared" si="1"/>
        <v>0</v>
      </c>
      <c r="I9" s="13" t="e">
        <f t="shared" si="2"/>
        <v>#DIV/0!</v>
      </c>
      <c r="J9" s="13" t="e">
        <f t="shared" si="3"/>
        <v>#DIV/0!</v>
      </c>
    </row>
    <row r="10" spans="1:26" ht="15.75" customHeight="1" x14ac:dyDescent="0.25">
      <c r="A10" s="8">
        <v>8</v>
      </c>
      <c r="B10" s="9" t="s">
        <v>18</v>
      </c>
      <c r="C10" s="10"/>
      <c r="D10" s="10"/>
      <c r="E10" s="10"/>
      <c r="F10" s="10"/>
      <c r="G10" s="11">
        <f t="shared" si="0"/>
        <v>0</v>
      </c>
      <c r="H10" s="12">
        <f t="shared" si="1"/>
        <v>0</v>
      </c>
      <c r="I10" s="13" t="e">
        <f t="shared" si="2"/>
        <v>#DIV/0!</v>
      </c>
      <c r="J10" s="13" t="e">
        <f t="shared" si="3"/>
        <v>#DIV/0!</v>
      </c>
    </row>
    <row r="11" spans="1:26" ht="15.75" customHeight="1" x14ac:dyDescent="0.25">
      <c r="A11" s="8">
        <v>9</v>
      </c>
      <c r="B11" s="9" t="s">
        <v>19</v>
      </c>
      <c r="C11" s="10"/>
      <c r="D11" s="10"/>
      <c r="E11" s="10"/>
      <c r="F11" s="10"/>
      <c r="G11" s="11">
        <f t="shared" si="0"/>
        <v>0</v>
      </c>
      <c r="H11" s="12">
        <f t="shared" si="1"/>
        <v>0</v>
      </c>
      <c r="I11" s="13" t="e">
        <f t="shared" si="2"/>
        <v>#DIV/0!</v>
      </c>
      <c r="J11" s="13" t="e">
        <f t="shared" si="3"/>
        <v>#DIV/0!</v>
      </c>
    </row>
    <row r="12" spans="1:26" ht="15.75" customHeight="1" x14ac:dyDescent="0.25">
      <c r="A12" s="8">
        <v>10</v>
      </c>
      <c r="B12" s="9" t="s">
        <v>20</v>
      </c>
      <c r="C12" s="14"/>
      <c r="D12" s="10"/>
      <c r="E12" s="10"/>
      <c r="F12" s="14"/>
      <c r="G12" s="11">
        <f t="shared" si="0"/>
        <v>0</v>
      </c>
      <c r="H12" s="12">
        <f t="shared" si="1"/>
        <v>0</v>
      </c>
      <c r="I12" s="13" t="e">
        <f t="shared" si="2"/>
        <v>#DIV/0!</v>
      </c>
      <c r="J12" s="13" t="e">
        <f t="shared" si="3"/>
        <v>#DIV/0!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0</v>
      </c>
      <c r="D13" s="17">
        <f t="shared" si="4"/>
        <v>0</v>
      </c>
      <c r="E13" s="17">
        <f t="shared" si="4"/>
        <v>0</v>
      </c>
      <c r="F13" s="17">
        <f t="shared" si="4"/>
        <v>0</v>
      </c>
      <c r="G13" s="17">
        <f t="shared" si="4"/>
        <v>0</v>
      </c>
      <c r="H13" s="17">
        <f t="shared" si="4"/>
        <v>0</v>
      </c>
      <c r="I13" s="18" t="e">
        <f t="shared" si="2"/>
        <v>#DIV/0!</v>
      </c>
      <c r="J13" s="18" t="e">
        <f t="shared" si="3"/>
        <v>#DIV/0!</v>
      </c>
    </row>
    <row r="14" spans="1:26" ht="15.75" customHeight="1" x14ac:dyDescent="0.25">
      <c r="A14" s="1"/>
      <c r="B14" s="19" t="s">
        <v>75</v>
      </c>
      <c r="C14" s="20">
        <f>H13</f>
        <v>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22"/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/>
      <c r="D19" s="10"/>
      <c r="E19" s="11">
        <f t="shared" ref="E19:E28" si="5">C19-D19</f>
        <v>0</v>
      </c>
      <c r="F19" s="13" t="e">
        <f t="shared" ref="F19:F27" si="6">(D19/C19)*100%</f>
        <v>#DIV/0!</v>
      </c>
      <c r="G19" s="13" t="e">
        <f t="shared" ref="G19:G27" si="7">(E19/C19)*100%</f>
        <v>#DIV/0!</v>
      </c>
      <c r="H19" s="3"/>
      <c r="I19" s="3"/>
      <c r="J19" s="3"/>
    </row>
    <row r="20" spans="1:26" ht="15" x14ac:dyDescent="0.25">
      <c r="A20" s="8">
        <v>2</v>
      </c>
      <c r="B20" s="9" t="s">
        <v>12</v>
      </c>
      <c r="C20" s="10"/>
      <c r="D20" s="10"/>
      <c r="E20" s="11">
        <f t="shared" si="5"/>
        <v>0</v>
      </c>
      <c r="F20" s="13" t="e">
        <f t="shared" si="6"/>
        <v>#DIV/0!</v>
      </c>
      <c r="G20" s="13" t="e">
        <f t="shared" si="7"/>
        <v>#DIV/0!</v>
      </c>
      <c r="H20" s="3"/>
      <c r="I20" s="3"/>
      <c r="J20" s="3"/>
    </row>
    <row r="21" spans="1:26" ht="15" x14ac:dyDescent="0.25">
      <c r="A21" s="8">
        <v>3</v>
      </c>
      <c r="B21" s="9" t="s">
        <v>13</v>
      </c>
      <c r="C21" s="10"/>
      <c r="D21" s="10"/>
      <c r="E21" s="11">
        <f t="shared" si="5"/>
        <v>0</v>
      </c>
      <c r="F21" s="13" t="e">
        <f t="shared" si="6"/>
        <v>#DIV/0!</v>
      </c>
      <c r="G21" s="13" t="e">
        <f t="shared" si="7"/>
        <v>#DIV/0!</v>
      </c>
      <c r="H21" s="3"/>
      <c r="I21" s="3"/>
      <c r="J21" s="3"/>
    </row>
    <row r="22" spans="1:26" ht="15" x14ac:dyDescent="0.25">
      <c r="A22" s="8">
        <v>4</v>
      </c>
      <c r="B22" s="9" t="s">
        <v>14</v>
      </c>
      <c r="C22" s="10"/>
      <c r="D22" s="10"/>
      <c r="E22" s="11">
        <f t="shared" si="5"/>
        <v>0</v>
      </c>
      <c r="F22" s="13" t="e">
        <f t="shared" si="6"/>
        <v>#DIV/0!</v>
      </c>
      <c r="G22" s="13" t="e">
        <f t="shared" si="7"/>
        <v>#DIV/0!</v>
      </c>
      <c r="H22" s="3"/>
      <c r="I22" s="3"/>
      <c r="J22" s="3"/>
    </row>
    <row r="23" spans="1:26" ht="15" x14ac:dyDescent="0.25">
      <c r="A23" s="8">
        <v>5</v>
      </c>
      <c r="B23" s="9" t="s">
        <v>15</v>
      </c>
      <c r="C23" s="10"/>
      <c r="D23" s="10"/>
      <c r="E23" s="11">
        <f t="shared" si="5"/>
        <v>0</v>
      </c>
      <c r="F23" s="13" t="e">
        <f t="shared" si="6"/>
        <v>#DIV/0!</v>
      </c>
      <c r="G23" s="13" t="e">
        <f t="shared" si="7"/>
        <v>#DIV/0!</v>
      </c>
      <c r="H23" s="3"/>
      <c r="I23" s="3"/>
      <c r="J23" s="3"/>
    </row>
    <row r="24" spans="1:26" ht="15" x14ac:dyDescent="0.25">
      <c r="A24" s="8">
        <v>6</v>
      </c>
      <c r="B24" s="9" t="s">
        <v>16</v>
      </c>
      <c r="C24" s="10"/>
      <c r="D24" s="10"/>
      <c r="E24" s="11">
        <f t="shared" si="5"/>
        <v>0</v>
      </c>
      <c r="F24" s="13" t="e">
        <f t="shared" si="6"/>
        <v>#DIV/0!</v>
      </c>
      <c r="G24" s="13" t="e">
        <f t="shared" si="7"/>
        <v>#DIV/0!</v>
      </c>
      <c r="H24" s="3"/>
      <c r="I24" s="3"/>
      <c r="J24" s="3"/>
    </row>
    <row r="25" spans="1:26" ht="15" x14ac:dyDescent="0.25">
      <c r="A25" s="8">
        <v>7</v>
      </c>
      <c r="B25" s="9" t="s">
        <v>17</v>
      </c>
      <c r="C25" s="10"/>
      <c r="D25" s="10"/>
      <c r="E25" s="11">
        <f t="shared" si="5"/>
        <v>0</v>
      </c>
      <c r="F25" s="13" t="e">
        <f t="shared" si="6"/>
        <v>#DIV/0!</v>
      </c>
      <c r="G25" s="13" t="e">
        <f t="shared" si="7"/>
        <v>#DIV/0!</v>
      </c>
      <c r="H25" s="3"/>
      <c r="I25" s="3"/>
      <c r="J25" s="3"/>
    </row>
    <row r="26" spans="1:26" ht="15" x14ac:dyDescent="0.25">
      <c r="A26" s="8">
        <v>8</v>
      </c>
      <c r="B26" s="9" t="s">
        <v>18</v>
      </c>
      <c r="C26" s="10"/>
      <c r="D26" s="10"/>
      <c r="E26" s="11">
        <f t="shared" si="5"/>
        <v>0</v>
      </c>
      <c r="F26" s="13" t="e">
        <f t="shared" si="6"/>
        <v>#DIV/0!</v>
      </c>
      <c r="G26" s="13" t="e">
        <f t="shared" si="7"/>
        <v>#DIV/0!</v>
      </c>
      <c r="H26" s="3"/>
      <c r="I26" s="3"/>
      <c r="J26" s="3"/>
    </row>
    <row r="27" spans="1:26" ht="15" x14ac:dyDescent="0.25">
      <c r="A27" s="8">
        <v>9</v>
      </c>
      <c r="B27" s="9" t="s">
        <v>19</v>
      </c>
      <c r="C27" s="10"/>
      <c r="D27" s="10"/>
      <c r="E27" s="11">
        <f t="shared" si="5"/>
        <v>0</v>
      </c>
      <c r="F27" s="13" t="e">
        <f t="shared" si="6"/>
        <v>#DIV/0!</v>
      </c>
      <c r="G27" s="13" t="e">
        <f t="shared" si="7"/>
        <v>#DIV/0!</v>
      </c>
      <c r="H27" s="3"/>
      <c r="I27" s="3"/>
      <c r="J27" s="3"/>
    </row>
    <row r="28" spans="1:26" ht="15" x14ac:dyDescent="0.25">
      <c r="A28" s="8">
        <v>10</v>
      </c>
      <c r="B28" s="9" t="s">
        <v>20</v>
      </c>
      <c r="C28" s="10"/>
      <c r="D28" s="10"/>
      <c r="E28" s="11">
        <f t="shared" si="5"/>
        <v>0</v>
      </c>
      <c r="F28" s="8"/>
      <c r="G28" s="13"/>
      <c r="H28" s="3"/>
      <c r="I28" s="3"/>
      <c r="J28" s="3"/>
    </row>
    <row r="29" spans="1:26" ht="15" x14ac:dyDescent="0.25">
      <c r="A29" s="9"/>
      <c r="B29" s="16" t="s">
        <v>21</v>
      </c>
      <c r="C29" s="17">
        <f t="shared" ref="C29:E29" si="8">SUM(C19:C28)</f>
        <v>0</v>
      </c>
      <c r="D29" s="17">
        <f t="shared" si="8"/>
        <v>0</v>
      </c>
      <c r="E29" s="17">
        <f t="shared" si="8"/>
        <v>0</v>
      </c>
      <c r="F29" s="23">
        <v>0.25</v>
      </c>
      <c r="G29" s="23">
        <v>0.75</v>
      </c>
      <c r="H29" s="3"/>
      <c r="I29" s="3"/>
      <c r="J29" s="3"/>
    </row>
    <row r="30" spans="1:26" ht="15" x14ac:dyDescent="0.25">
      <c r="A30" s="3"/>
      <c r="B30" s="19" t="s">
        <v>30</v>
      </c>
      <c r="C30" s="20">
        <f>E29</f>
        <v>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96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/>
      <c r="D35" s="8"/>
      <c r="E35" s="8">
        <v>1441</v>
      </c>
      <c r="F35" s="8">
        <f t="shared" ref="F35:F44" si="9">C35-D35-E35</f>
        <v>-1441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/>
      <c r="D36" s="8"/>
      <c r="E36" s="8">
        <v>923</v>
      </c>
      <c r="F36" s="8">
        <f t="shared" si="9"/>
        <v>-923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/>
      <c r="D37" s="8"/>
      <c r="E37" s="8">
        <v>1167</v>
      </c>
      <c r="F37" s="8">
        <f t="shared" si="9"/>
        <v>-1167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/>
      <c r="D38" s="8"/>
      <c r="E38" s="8">
        <v>645</v>
      </c>
      <c r="F38" s="8">
        <f t="shared" si="9"/>
        <v>-645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/>
      <c r="D39" s="8"/>
      <c r="E39" s="8">
        <v>128</v>
      </c>
      <c r="F39" s="8">
        <f t="shared" si="9"/>
        <v>-128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/>
      <c r="D40" s="8"/>
      <c r="E40" s="8">
        <v>40</v>
      </c>
      <c r="F40" s="8">
        <f t="shared" si="9"/>
        <v>-40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/>
      <c r="D41" s="8"/>
      <c r="E41" s="8">
        <v>457</v>
      </c>
      <c r="F41" s="8">
        <f t="shared" si="9"/>
        <v>-457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/>
      <c r="D42" s="8"/>
      <c r="E42" s="8">
        <v>698</v>
      </c>
      <c r="F42" s="8">
        <f t="shared" si="9"/>
        <v>-698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/>
      <c r="D43" s="8"/>
      <c r="E43" s="8">
        <v>145</v>
      </c>
      <c r="F43" s="8">
        <f t="shared" si="9"/>
        <v>-145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/>
      <c r="D44" s="8"/>
      <c r="E44" s="8">
        <v>264</v>
      </c>
      <c r="F44" s="8">
        <f t="shared" si="9"/>
        <v>-264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10">SUM(C35:C44)</f>
        <v>0</v>
      </c>
      <c r="D45" s="25">
        <f t="shared" si="10"/>
        <v>0</v>
      </c>
      <c r="E45" s="25">
        <f t="shared" si="10"/>
        <v>5908</v>
      </c>
      <c r="F45" s="25">
        <f t="shared" si="10"/>
        <v>-5908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98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99</v>
      </c>
      <c r="G49" s="4" t="s">
        <v>79</v>
      </c>
      <c r="H49" s="4" t="s">
        <v>80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1">F3</f>
        <v>0</v>
      </c>
      <c r="D50" s="10">
        <f t="shared" ref="D50:D59" si="12">D19</f>
        <v>0</v>
      </c>
      <c r="E50" s="10"/>
      <c r="F50" s="10">
        <f t="shared" ref="F50:F59" si="13">C50+D50+E50</f>
        <v>0</v>
      </c>
      <c r="G50" s="14"/>
      <c r="H50" s="10">
        <f t="shared" ref="H50:H59" si="14">F50-G50</f>
        <v>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1"/>
        <v>0</v>
      </c>
      <c r="D51" s="10">
        <f t="shared" si="12"/>
        <v>0</v>
      </c>
      <c r="E51" s="10"/>
      <c r="F51" s="10">
        <f t="shared" si="13"/>
        <v>0</v>
      </c>
      <c r="G51" s="14"/>
      <c r="H51" s="10">
        <f t="shared" si="14"/>
        <v>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1"/>
        <v>0</v>
      </c>
      <c r="D52" s="10">
        <f t="shared" si="12"/>
        <v>0</v>
      </c>
      <c r="E52" s="10"/>
      <c r="F52" s="10">
        <f t="shared" si="13"/>
        <v>0</v>
      </c>
      <c r="G52" s="14"/>
      <c r="H52" s="10">
        <f t="shared" si="14"/>
        <v>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1"/>
        <v>0</v>
      </c>
      <c r="D53" s="10">
        <f t="shared" si="12"/>
        <v>0</v>
      </c>
      <c r="E53" s="10"/>
      <c r="F53" s="10">
        <f t="shared" si="13"/>
        <v>0</v>
      </c>
      <c r="G53" s="14"/>
      <c r="H53" s="10">
        <f t="shared" si="14"/>
        <v>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1"/>
        <v>0</v>
      </c>
      <c r="D54" s="10">
        <f t="shared" si="12"/>
        <v>0</v>
      </c>
      <c r="E54" s="10"/>
      <c r="F54" s="10">
        <f t="shared" si="13"/>
        <v>0</v>
      </c>
      <c r="G54" s="14"/>
      <c r="H54" s="10">
        <f t="shared" si="14"/>
        <v>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1"/>
        <v>0</v>
      </c>
      <c r="D55" s="10">
        <f t="shared" si="12"/>
        <v>0</v>
      </c>
      <c r="E55" s="10"/>
      <c r="F55" s="10">
        <f t="shared" si="13"/>
        <v>0</v>
      </c>
      <c r="G55" s="14"/>
      <c r="H55" s="10">
        <f t="shared" si="14"/>
        <v>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1"/>
        <v>0</v>
      </c>
      <c r="D56" s="10">
        <f t="shared" si="12"/>
        <v>0</v>
      </c>
      <c r="E56" s="10"/>
      <c r="F56" s="10">
        <f t="shared" si="13"/>
        <v>0</v>
      </c>
      <c r="G56" s="10"/>
      <c r="H56" s="10">
        <f t="shared" si="14"/>
        <v>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1"/>
        <v>0</v>
      </c>
      <c r="D57" s="10">
        <f t="shared" si="12"/>
        <v>0</v>
      </c>
      <c r="E57" s="10"/>
      <c r="F57" s="10">
        <f t="shared" si="13"/>
        <v>0</v>
      </c>
      <c r="G57" s="10"/>
      <c r="H57" s="10">
        <f t="shared" si="14"/>
        <v>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1"/>
        <v>0</v>
      </c>
      <c r="D58" s="10">
        <f t="shared" si="12"/>
        <v>0</v>
      </c>
      <c r="E58" s="10"/>
      <c r="F58" s="10">
        <f t="shared" si="13"/>
        <v>0</v>
      </c>
      <c r="G58" s="14"/>
      <c r="H58" s="10">
        <f t="shared" si="14"/>
        <v>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1"/>
        <v>0</v>
      </c>
      <c r="D59" s="10">
        <f t="shared" si="12"/>
        <v>0</v>
      </c>
      <c r="E59" s="10"/>
      <c r="F59" s="10">
        <f t="shared" si="13"/>
        <v>0</v>
      </c>
      <c r="G59" s="14"/>
      <c r="H59" s="10">
        <f t="shared" si="14"/>
        <v>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5">SUM(C50:C59)</f>
        <v>0</v>
      </c>
      <c r="D60" s="17">
        <f t="shared" si="15"/>
        <v>0</v>
      </c>
      <c r="E60" s="17">
        <f t="shared" si="15"/>
        <v>0</v>
      </c>
      <c r="F60" s="17">
        <f t="shared" si="15"/>
        <v>0</v>
      </c>
      <c r="G60" s="17">
        <f t="shared" si="15"/>
        <v>0</v>
      </c>
      <c r="H60" s="17">
        <f t="shared" si="15"/>
        <v>0</v>
      </c>
      <c r="I60" s="3"/>
      <c r="J60" s="3"/>
    </row>
    <row r="61" spans="1:26" ht="15" x14ac:dyDescent="0.25">
      <c r="A61" s="1"/>
      <c r="B61" s="16" t="s">
        <v>21</v>
      </c>
      <c r="C61" s="17">
        <f>F60</f>
        <v>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93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73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95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/>
      <c r="D3" s="10"/>
      <c r="E3" s="10"/>
      <c r="F3" s="10"/>
      <c r="G3" s="11">
        <f t="shared" ref="G3:G12" si="0">D3+E3+F3</f>
        <v>0</v>
      </c>
      <c r="H3" s="12">
        <f t="shared" ref="H3:H12" si="1">C3-G3</f>
        <v>0</v>
      </c>
      <c r="I3" s="13" t="e">
        <f t="shared" ref="I3:I13" si="2">(G3/C3)*100%</f>
        <v>#DIV/0!</v>
      </c>
      <c r="J3" s="13" t="e">
        <f t="shared" ref="J3:J13" si="3">(H3/C3)*100%</f>
        <v>#DIV/0!</v>
      </c>
    </row>
    <row r="4" spans="1:26" ht="15.75" customHeight="1" x14ac:dyDescent="0.25">
      <c r="A4" s="8">
        <v>2</v>
      </c>
      <c r="B4" s="9" t="s">
        <v>12</v>
      </c>
      <c r="C4" s="10"/>
      <c r="D4" s="10"/>
      <c r="E4" s="10"/>
      <c r="F4" s="10"/>
      <c r="G4" s="11">
        <f t="shared" si="0"/>
        <v>0</v>
      </c>
      <c r="H4" s="12">
        <f t="shared" si="1"/>
        <v>0</v>
      </c>
      <c r="I4" s="13" t="e">
        <f t="shared" si="2"/>
        <v>#DIV/0!</v>
      </c>
      <c r="J4" s="13" t="e">
        <f t="shared" si="3"/>
        <v>#DIV/0!</v>
      </c>
    </row>
    <row r="5" spans="1:26" ht="15.75" customHeight="1" x14ac:dyDescent="0.25">
      <c r="A5" s="8">
        <v>3</v>
      </c>
      <c r="B5" s="9" t="s">
        <v>13</v>
      </c>
      <c r="C5" s="10"/>
      <c r="D5" s="10"/>
      <c r="E5" s="10"/>
      <c r="F5" s="10"/>
      <c r="G5" s="11">
        <f t="shared" si="0"/>
        <v>0</v>
      </c>
      <c r="H5" s="12">
        <f t="shared" si="1"/>
        <v>0</v>
      </c>
      <c r="I5" s="13" t="e">
        <f t="shared" si="2"/>
        <v>#DIV/0!</v>
      </c>
      <c r="J5" s="13" t="e">
        <f t="shared" si="3"/>
        <v>#DIV/0!</v>
      </c>
    </row>
    <row r="6" spans="1:26" ht="15.75" customHeight="1" x14ac:dyDescent="0.25">
      <c r="A6" s="8">
        <v>4</v>
      </c>
      <c r="B6" s="9" t="s">
        <v>14</v>
      </c>
      <c r="C6" s="10"/>
      <c r="D6" s="10"/>
      <c r="E6" s="10"/>
      <c r="F6" s="10"/>
      <c r="G6" s="11">
        <f t="shared" si="0"/>
        <v>0</v>
      </c>
      <c r="H6" s="12">
        <f t="shared" si="1"/>
        <v>0</v>
      </c>
      <c r="I6" s="13" t="e">
        <f t="shared" si="2"/>
        <v>#DIV/0!</v>
      </c>
      <c r="J6" s="13" t="e">
        <f t="shared" si="3"/>
        <v>#DIV/0!</v>
      </c>
    </row>
    <row r="7" spans="1:26" ht="15.75" customHeight="1" x14ac:dyDescent="0.25">
      <c r="A7" s="8">
        <v>5</v>
      </c>
      <c r="B7" s="9" t="s">
        <v>15</v>
      </c>
      <c r="C7" s="10"/>
      <c r="D7" s="10"/>
      <c r="E7" s="10"/>
      <c r="F7" s="10"/>
      <c r="G7" s="11">
        <f t="shared" si="0"/>
        <v>0</v>
      </c>
      <c r="H7" s="12">
        <f t="shared" si="1"/>
        <v>0</v>
      </c>
      <c r="I7" s="13" t="e">
        <f t="shared" si="2"/>
        <v>#DIV/0!</v>
      </c>
      <c r="J7" s="13" t="e">
        <f t="shared" si="3"/>
        <v>#DIV/0!</v>
      </c>
    </row>
    <row r="8" spans="1:26" ht="15.75" customHeight="1" x14ac:dyDescent="0.25">
      <c r="A8" s="8">
        <v>6</v>
      </c>
      <c r="B8" s="9" t="s">
        <v>16</v>
      </c>
      <c r="C8" s="10"/>
      <c r="D8" s="10"/>
      <c r="E8" s="10"/>
      <c r="F8" s="10"/>
      <c r="G8" s="11">
        <f t="shared" si="0"/>
        <v>0</v>
      </c>
      <c r="H8" s="12">
        <f t="shared" si="1"/>
        <v>0</v>
      </c>
      <c r="I8" s="13" t="e">
        <f t="shared" si="2"/>
        <v>#DIV/0!</v>
      </c>
      <c r="J8" s="13" t="e">
        <f t="shared" si="3"/>
        <v>#DIV/0!</v>
      </c>
    </row>
    <row r="9" spans="1:26" ht="15.75" customHeight="1" x14ac:dyDescent="0.25">
      <c r="A9" s="8">
        <v>7</v>
      </c>
      <c r="B9" s="9" t="s">
        <v>17</v>
      </c>
      <c r="C9" s="10"/>
      <c r="D9" s="10"/>
      <c r="E9" s="10"/>
      <c r="F9" s="10"/>
      <c r="G9" s="11">
        <f t="shared" si="0"/>
        <v>0</v>
      </c>
      <c r="H9" s="12">
        <f t="shared" si="1"/>
        <v>0</v>
      </c>
      <c r="I9" s="13" t="e">
        <f t="shared" si="2"/>
        <v>#DIV/0!</v>
      </c>
      <c r="J9" s="13" t="e">
        <f t="shared" si="3"/>
        <v>#DIV/0!</v>
      </c>
    </row>
    <row r="10" spans="1:26" ht="15.75" customHeight="1" x14ac:dyDescent="0.25">
      <c r="A10" s="8">
        <v>8</v>
      </c>
      <c r="B10" s="9" t="s">
        <v>18</v>
      </c>
      <c r="C10" s="14"/>
      <c r="D10" s="10"/>
      <c r="E10" s="10"/>
      <c r="F10" s="14"/>
      <c r="G10" s="11">
        <f t="shared" si="0"/>
        <v>0</v>
      </c>
      <c r="H10" s="12">
        <f t="shared" si="1"/>
        <v>0</v>
      </c>
      <c r="I10" s="13" t="e">
        <f t="shared" si="2"/>
        <v>#DIV/0!</v>
      </c>
      <c r="J10" s="13" t="e">
        <f t="shared" si="3"/>
        <v>#DIV/0!</v>
      </c>
    </row>
    <row r="11" spans="1:26" ht="15.75" customHeight="1" x14ac:dyDescent="0.25">
      <c r="A11" s="8">
        <v>9</v>
      </c>
      <c r="B11" s="9" t="s">
        <v>19</v>
      </c>
      <c r="C11" s="14"/>
      <c r="D11" s="10"/>
      <c r="E11" s="10"/>
      <c r="F11" s="14"/>
      <c r="G11" s="11">
        <f t="shared" si="0"/>
        <v>0</v>
      </c>
      <c r="H11" s="12">
        <f t="shared" si="1"/>
        <v>0</v>
      </c>
      <c r="I11" s="13" t="e">
        <f t="shared" si="2"/>
        <v>#DIV/0!</v>
      </c>
      <c r="J11" s="13" t="e">
        <f t="shared" si="3"/>
        <v>#DIV/0!</v>
      </c>
    </row>
    <row r="12" spans="1:26" ht="15.75" customHeight="1" x14ac:dyDescent="0.25">
      <c r="A12" s="8">
        <v>10</v>
      </c>
      <c r="B12" s="9" t="s">
        <v>20</v>
      </c>
      <c r="C12" s="14"/>
      <c r="D12" s="10"/>
      <c r="E12" s="10"/>
      <c r="F12" s="14"/>
      <c r="G12" s="11">
        <f t="shared" si="0"/>
        <v>0</v>
      </c>
      <c r="H12" s="12">
        <f t="shared" si="1"/>
        <v>0</v>
      </c>
      <c r="I12" s="13" t="e">
        <f t="shared" si="2"/>
        <v>#DIV/0!</v>
      </c>
      <c r="J12" s="13" t="e">
        <f t="shared" si="3"/>
        <v>#DIV/0!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0</v>
      </c>
      <c r="D13" s="17">
        <f t="shared" si="4"/>
        <v>0</v>
      </c>
      <c r="E13" s="17">
        <f t="shared" si="4"/>
        <v>0</v>
      </c>
      <c r="F13" s="17">
        <f t="shared" si="4"/>
        <v>0</v>
      </c>
      <c r="G13" s="17">
        <f t="shared" si="4"/>
        <v>0</v>
      </c>
      <c r="H13" s="17">
        <f t="shared" si="4"/>
        <v>0</v>
      </c>
      <c r="I13" s="18" t="e">
        <f t="shared" si="2"/>
        <v>#DIV/0!</v>
      </c>
      <c r="J13" s="18" t="e">
        <f t="shared" si="3"/>
        <v>#DIV/0!</v>
      </c>
    </row>
    <row r="14" spans="1:26" ht="15.75" customHeight="1" x14ac:dyDescent="0.25">
      <c r="A14" s="1"/>
      <c r="B14" s="19" t="s">
        <v>75</v>
      </c>
      <c r="C14" s="20">
        <f>H13</f>
        <v>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22"/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/>
      <c r="D19" s="10"/>
      <c r="E19" s="11">
        <f t="shared" ref="E19:E28" si="5">C19-D19</f>
        <v>0</v>
      </c>
      <c r="F19" s="13" t="e">
        <f t="shared" ref="F19:F27" si="6">(D19/C19)*100%</f>
        <v>#DIV/0!</v>
      </c>
      <c r="G19" s="13" t="e">
        <f t="shared" ref="G19:G27" si="7">(E19/C19)*100%</f>
        <v>#DIV/0!</v>
      </c>
      <c r="H19" s="3"/>
      <c r="I19" s="3"/>
      <c r="J19" s="3"/>
    </row>
    <row r="20" spans="1:26" ht="15" x14ac:dyDescent="0.25">
      <c r="A20" s="8">
        <v>2</v>
      </c>
      <c r="B20" s="9" t="s">
        <v>12</v>
      </c>
      <c r="C20" s="10"/>
      <c r="D20" s="10"/>
      <c r="E20" s="11">
        <f t="shared" si="5"/>
        <v>0</v>
      </c>
      <c r="F20" s="13" t="e">
        <f t="shared" si="6"/>
        <v>#DIV/0!</v>
      </c>
      <c r="G20" s="13" t="e">
        <f t="shared" si="7"/>
        <v>#DIV/0!</v>
      </c>
      <c r="H20" s="3"/>
      <c r="I20" s="3"/>
      <c r="J20" s="3"/>
    </row>
    <row r="21" spans="1:26" ht="15" x14ac:dyDescent="0.25">
      <c r="A21" s="8">
        <v>3</v>
      </c>
      <c r="B21" s="9" t="s">
        <v>13</v>
      </c>
      <c r="C21" s="10"/>
      <c r="D21" s="10"/>
      <c r="E21" s="11">
        <f t="shared" si="5"/>
        <v>0</v>
      </c>
      <c r="F21" s="13" t="e">
        <f t="shared" si="6"/>
        <v>#DIV/0!</v>
      </c>
      <c r="G21" s="13" t="e">
        <f t="shared" si="7"/>
        <v>#DIV/0!</v>
      </c>
      <c r="H21" s="3"/>
      <c r="I21" s="3"/>
      <c r="J21" s="3"/>
    </row>
    <row r="22" spans="1:26" ht="15" x14ac:dyDescent="0.25">
      <c r="A22" s="8">
        <v>4</v>
      </c>
      <c r="B22" s="9" t="s">
        <v>14</v>
      </c>
      <c r="C22" s="10"/>
      <c r="D22" s="10"/>
      <c r="E22" s="11">
        <f t="shared" si="5"/>
        <v>0</v>
      </c>
      <c r="F22" s="13" t="e">
        <f t="shared" si="6"/>
        <v>#DIV/0!</v>
      </c>
      <c r="G22" s="13" t="e">
        <f t="shared" si="7"/>
        <v>#DIV/0!</v>
      </c>
      <c r="H22" s="3"/>
      <c r="I22" s="3"/>
      <c r="J22" s="3"/>
    </row>
    <row r="23" spans="1:26" ht="15" x14ac:dyDescent="0.25">
      <c r="A23" s="8">
        <v>5</v>
      </c>
      <c r="B23" s="9" t="s">
        <v>15</v>
      </c>
      <c r="C23" s="10"/>
      <c r="D23" s="10"/>
      <c r="E23" s="11">
        <f t="shared" si="5"/>
        <v>0</v>
      </c>
      <c r="F23" s="13" t="e">
        <f t="shared" si="6"/>
        <v>#DIV/0!</v>
      </c>
      <c r="G23" s="13" t="e">
        <f t="shared" si="7"/>
        <v>#DIV/0!</v>
      </c>
      <c r="H23" s="3"/>
      <c r="I23" s="3"/>
      <c r="J23" s="3"/>
    </row>
    <row r="24" spans="1:26" ht="15" x14ac:dyDescent="0.25">
      <c r="A24" s="8">
        <v>6</v>
      </c>
      <c r="B24" s="9" t="s">
        <v>16</v>
      </c>
      <c r="C24" s="10"/>
      <c r="D24" s="10"/>
      <c r="E24" s="11">
        <f t="shared" si="5"/>
        <v>0</v>
      </c>
      <c r="F24" s="13" t="e">
        <f t="shared" si="6"/>
        <v>#DIV/0!</v>
      </c>
      <c r="G24" s="13" t="e">
        <f t="shared" si="7"/>
        <v>#DIV/0!</v>
      </c>
      <c r="H24" s="3"/>
      <c r="I24" s="3"/>
      <c r="J24" s="3"/>
    </row>
    <row r="25" spans="1:26" ht="15" x14ac:dyDescent="0.25">
      <c r="A25" s="8">
        <v>7</v>
      </c>
      <c r="B25" s="9" t="s">
        <v>17</v>
      </c>
      <c r="C25" s="14"/>
      <c r="D25" s="10"/>
      <c r="E25" s="11">
        <f t="shared" si="5"/>
        <v>0</v>
      </c>
      <c r="F25" s="13" t="e">
        <f t="shared" si="6"/>
        <v>#DIV/0!</v>
      </c>
      <c r="G25" s="13" t="e">
        <f t="shared" si="7"/>
        <v>#DIV/0!</v>
      </c>
      <c r="H25" s="3"/>
      <c r="I25" s="3"/>
      <c r="J25" s="3"/>
    </row>
    <row r="26" spans="1:26" ht="15" x14ac:dyDescent="0.25">
      <c r="A26" s="8">
        <v>8</v>
      </c>
      <c r="B26" s="9" t="s">
        <v>18</v>
      </c>
      <c r="C26" s="14"/>
      <c r="D26" s="14"/>
      <c r="E26" s="11">
        <f t="shared" si="5"/>
        <v>0</v>
      </c>
      <c r="F26" s="13" t="e">
        <f t="shared" si="6"/>
        <v>#DIV/0!</v>
      </c>
      <c r="G26" s="13" t="e">
        <f t="shared" si="7"/>
        <v>#DIV/0!</v>
      </c>
      <c r="H26" s="3"/>
      <c r="I26" s="3"/>
      <c r="J26" s="3"/>
    </row>
    <row r="27" spans="1:26" ht="15" x14ac:dyDescent="0.25">
      <c r="A27" s="8">
        <v>9</v>
      </c>
      <c r="B27" s="9" t="s">
        <v>19</v>
      </c>
      <c r="C27" s="14"/>
      <c r="D27" s="14"/>
      <c r="E27" s="11">
        <f t="shared" si="5"/>
        <v>0</v>
      </c>
      <c r="F27" s="13" t="e">
        <f t="shared" si="6"/>
        <v>#DIV/0!</v>
      </c>
      <c r="G27" s="13" t="e">
        <f t="shared" si="7"/>
        <v>#DIV/0!</v>
      </c>
      <c r="H27" s="3"/>
      <c r="I27" s="3"/>
      <c r="J27" s="3"/>
    </row>
    <row r="28" spans="1:26" ht="15" x14ac:dyDescent="0.25">
      <c r="A28" s="8">
        <v>10</v>
      </c>
      <c r="B28" s="9" t="s">
        <v>20</v>
      </c>
      <c r="C28" s="10"/>
      <c r="D28" s="10"/>
      <c r="E28" s="11">
        <f t="shared" si="5"/>
        <v>0</v>
      </c>
      <c r="F28" s="8"/>
      <c r="G28" s="13"/>
      <c r="H28" s="3"/>
      <c r="I28" s="3"/>
      <c r="J28" s="3"/>
    </row>
    <row r="29" spans="1:26" ht="15" x14ac:dyDescent="0.25">
      <c r="A29" s="9"/>
      <c r="B29" s="16" t="s">
        <v>21</v>
      </c>
      <c r="C29" s="17">
        <f t="shared" ref="C29:E29" si="8">SUM(C19:C28)</f>
        <v>0</v>
      </c>
      <c r="D29" s="17">
        <f t="shared" si="8"/>
        <v>0</v>
      </c>
      <c r="E29" s="17">
        <f t="shared" si="8"/>
        <v>0</v>
      </c>
      <c r="F29" s="23">
        <v>0.25</v>
      </c>
      <c r="G29" s="23">
        <v>0.75</v>
      </c>
      <c r="H29" s="3"/>
      <c r="I29" s="3"/>
      <c r="J29" s="3"/>
    </row>
    <row r="30" spans="1:26" ht="15" x14ac:dyDescent="0.25">
      <c r="A30" s="3"/>
      <c r="B30" s="19" t="s">
        <v>30</v>
      </c>
      <c r="C30" s="20">
        <f>E29</f>
        <v>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97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/>
      <c r="D35" s="8"/>
      <c r="E35" s="8"/>
      <c r="F35" s="8">
        <f t="shared" ref="F35:F44" si="9">C35-D35-E35</f>
        <v>0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/>
      <c r="D36" s="8"/>
      <c r="E36" s="8"/>
      <c r="F36" s="8">
        <f t="shared" si="9"/>
        <v>0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/>
      <c r="D37" s="8"/>
      <c r="E37" s="8"/>
      <c r="F37" s="8">
        <f t="shared" si="9"/>
        <v>0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/>
      <c r="D38" s="8"/>
      <c r="E38" s="8"/>
      <c r="F38" s="8">
        <f t="shared" si="9"/>
        <v>0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/>
      <c r="D39" s="8"/>
      <c r="E39" s="8"/>
      <c r="F39" s="8">
        <f t="shared" si="9"/>
        <v>0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/>
      <c r="D40" s="8"/>
      <c r="E40" s="8"/>
      <c r="F40" s="8">
        <f t="shared" si="9"/>
        <v>0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/>
      <c r="D41" s="8"/>
      <c r="E41" s="8"/>
      <c r="F41" s="8">
        <f t="shared" si="9"/>
        <v>0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/>
      <c r="D42" s="8"/>
      <c r="E42" s="8"/>
      <c r="F42" s="8">
        <f t="shared" si="9"/>
        <v>0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/>
      <c r="D43" s="8"/>
      <c r="E43" s="8"/>
      <c r="F43" s="8">
        <f t="shared" si="9"/>
        <v>0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/>
      <c r="D44" s="8"/>
      <c r="E44" s="8"/>
      <c r="F44" s="8">
        <f t="shared" si="9"/>
        <v>0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10">SUM(C35:C44)</f>
        <v>0</v>
      </c>
      <c r="D45" s="25">
        <f t="shared" si="10"/>
        <v>0</v>
      </c>
      <c r="E45" s="25">
        <f t="shared" si="10"/>
        <v>0</v>
      </c>
      <c r="F45" s="25">
        <f t="shared" si="10"/>
        <v>0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100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101</v>
      </c>
      <c r="G49" s="4" t="s">
        <v>79</v>
      </c>
      <c r="H49" s="4" t="s">
        <v>80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1">F3</f>
        <v>0</v>
      </c>
      <c r="D50" s="10">
        <f t="shared" ref="D50:D59" si="12">D19</f>
        <v>0</v>
      </c>
      <c r="E50" s="10"/>
      <c r="F50" s="10">
        <f t="shared" ref="F50:F59" si="13">C50+D50+E50</f>
        <v>0</v>
      </c>
      <c r="G50" s="14"/>
      <c r="H50" s="10">
        <f t="shared" ref="H50:H59" si="14">F50-G50</f>
        <v>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1"/>
        <v>0</v>
      </c>
      <c r="D51" s="10">
        <f t="shared" si="12"/>
        <v>0</v>
      </c>
      <c r="E51" s="10"/>
      <c r="F51" s="10">
        <f t="shared" si="13"/>
        <v>0</v>
      </c>
      <c r="G51" s="14"/>
      <c r="H51" s="10">
        <f t="shared" si="14"/>
        <v>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1"/>
        <v>0</v>
      </c>
      <c r="D52" s="10">
        <f t="shared" si="12"/>
        <v>0</v>
      </c>
      <c r="E52" s="10"/>
      <c r="F52" s="10">
        <f t="shared" si="13"/>
        <v>0</v>
      </c>
      <c r="G52" s="14"/>
      <c r="H52" s="10">
        <f t="shared" si="14"/>
        <v>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1"/>
        <v>0</v>
      </c>
      <c r="D53" s="10">
        <f t="shared" si="12"/>
        <v>0</v>
      </c>
      <c r="E53" s="10"/>
      <c r="F53" s="10">
        <f t="shared" si="13"/>
        <v>0</v>
      </c>
      <c r="G53" s="14"/>
      <c r="H53" s="10">
        <f t="shared" si="14"/>
        <v>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1"/>
        <v>0</v>
      </c>
      <c r="D54" s="10">
        <f t="shared" si="12"/>
        <v>0</v>
      </c>
      <c r="E54" s="10"/>
      <c r="F54" s="10">
        <f t="shared" si="13"/>
        <v>0</v>
      </c>
      <c r="G54" s="14"/>
      <c r="H54" s="10">
        <f t="shared" si="14"/>
        <v>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1"/>
        <v>0</v>
      </c>
      <c r="D55" s="10">
        <f t="shared" si="12"/>
        <v>0</v>
      </c>
      <c r="E55" s="10"/>
      <c r="F55" s="10">
        <f t="shared" si="13"/>
        <v>0</v>
      </c>
      <c r="G55" s="14"/>
      <c r="H55" s="10">
        <f t="shared" si="14"/>
        <v>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1"/>
        <v>0</v>
      </c>
      <c r="D56" s="10">
        <f t="shared" si="12"/>
        <v>0</v>
      </c>
      <c r="E56" s="10"/>
      <c r="F56" s="10">
        <f t="shared" si="13"/>
        <v>0</v>
      </c>
      <c r="G56" s="10"/>
      <c r="H56" s="10">
        <f t="shared" si="14"/>
        <v>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1"/>
        <v>0</v>
      </c>
      <c r="D57" s="10">
        <f t="shared" si="12"/>
        <v>0</v>
      </c>
      <c r="E57" s="10"/>
      <c r="F57" s="10">
        <f t="shared" si="13"/>
        <v>0</v>
      </c>
      <c r="G57" s="10"/>
      <c r="H57" s="10">
        <f t="shared" si="14"/>
        <v>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1"/>
        <v>0</v>
      </c>
      <c r="D58" s="10">
        <f t="shared" si="12"/>
        <v>0</v>
      </c>
      <c r="E58" s="10"/>
      <c r="F58" s="10">
        <f t="shared" si="13"/>
        <v>0</v>
      </c>
      <c r="G58" s="14"/>
      <c r="H58" s="10">
        <f t="shared" si="14"/>
        <v>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1"/>
        <v>0</v>
      </c>
      <c r="D59" s="10">
        <f t="shared" si="12"/>
        <v>0</v>
      </c>
      <c r="E59" s="10"/>
      <c r="F59" s="10">
        <f t="shared" si="13"/>
        <v>0</v>
      </c>
      <c r="G59" s="14"/>
      <c r="H59" s="10">
        <f t="shared" si="14"/>
        <v>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5">SUM(C50:C59)</f>
        <v>0</v>
      </c>
      <c r="D60" s="17">
        <f t="shared" si="15"/>
        <v>0</v>
      </c>
      <c r="E60" s="17">
        <f t="shared" si="15"/>
        <v>0</v>
      </c>
      <c r="F60" s="17">
        <f t="shared" si="15"/>
        <v>0</v>
      </c>
      <c r="G60" s="17">
        <f t="shared" si="15"/>
        <v>0</v>
      </c>
      <c r="H60" s="17">
        <f t="shared" si="15"/>
        <v>0</v>
      </c>
      <c r="I60" s="3"/>
      <c r="J60" s="3"/>
    </row>
    <row r="61" spans="1:26" ht="15" x14ac:dyDescent="0.25">
      <c r="A61" s="1"/>
      <c r="B61" s="16" t="s">
        <v>21</v>
      </c>
      <c r="C61" s="17">
        <f>F60</f>
        <v>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102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103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/>
      <c r="D3" s="10"/>
      <c r="E3" s="10"/>
      <c r="F3" s="10"/>
      <c r="G3" s="11">
        <f t="shared" ref="G3:G12" si="0">D3+E3+F3</f>
        <v>0</v>
      </c>
      <c r="H3" s="12">
        <f t="shared" ref="H3:H12" si="1">C3-G3</f>
        <v>0</v>
      </c>
      <c r="I3" s="13" t="e">
        <f t="shared" ref="I3:I13" si="2">(G3/C3)*100%</f>
        <v>#DIV/0!</v>
      </c>
      <c r="J3" s="13" t="e">
        <f t="shared" ref="J3:J13" si="3">(H3/C3)*100%</f>
        <v>#DIV/0!</v>
      </c>
    </row>
    <row r="4" spans="1:26" ht="15.75" customHeight="1" x14ac:dyDescent="0.25">
      <c r="A4" s="8">
        <v>2</v>
      </c>
      <c r="B4" s="9" t="s">
        <v>12</v>
      </c>
      <c r="C4" s="10"/>
      <c r="D4" s="10"/>
      <c r="E4" s="10"/>
      <c r="F4" s="10"/>
      <c r="G4" s="11">
        <f t="shared" si="0"/>
        <v>0</v>
      </c>
      <c r="H4" s="12">
        <f t="shared" si="1"/>
        <v>0</v>
      </c>
      <c r="I4" s="13" t="e">
        <f t="shared" si="2"/>
        <v>#DIV/0!</v>
      </c>
      <c r="J4" s="13" t="e">
        <f t="shared" si="3"/>
        <v>#DIV/0!</v>
      </c>
    </row>
    <row r="5" spans="1:26" ht="15.75" customHeight="1" x14ac:dyDescent="0.25">
      <c r="A5" s="8">
        <v>3</v>
      </c>
      <c r="B5" s="9" t="s">
        <v>13</v>
      </c>
      <c r="C5" s="10"/>
      <c r="D5" s="10"/>
      <c r="E5" s="10"/>
      <c r="F5" s="10"/>
      <c r="G5" s="11">
        <f t="shared" si="0"/>
        <v>0</v>
      </c>
      <c r="H5" s="12">
        <f t="shared" si="1"/>
        <v>0</v>
      </c>
      <c r="I5" s="13" t="e">
        <f t="shared" si="2"/>
        <v>#DIV/0!</v>
      </c>
      <c r="J5" s="13" t="e">
        <f t="shared" si="3"/>
        <v>#DIV/0!</v>
      </c>
    </row>
    <row r="6" spans="1:26" ht="15.75" customHeight="1" x14ac:dyDescent="0.25">
      <c r="A6" s="8">
        <v>4</v>
      </c>
      <c r="B6" s="9" t="s">
        <v>14</v>
      </c>
      <c r="C6" s="10"/>
      <c r="D6" s="10"/>
      <c r="E6" s="10"/>
      <c r="F6" s="10"/>
      <c r="G6" s="11">
        <f t="shared" si="0"/>
        <v>0</v>
      </c>
      <c r="H6" s="12">
        <f t="shared" si="1"/>
        <v>0</v>
      </c>
      <c r="I6" s="13" t="e">
        <f t="shared" si="2"/>
        <v>#DIV/0!</v>
      </c>
      <c r="J6" s="13" t="e">
        <f t="shared" si="3"/>
        <v>#DIV/0!</v>
      </c>
    </row>
    <row r="7" spans="1:26" ht="15.75" customHeight="1" x14ac:dyDescent="0.25">
      <c r="A7" s="8">
        <v>5</v>
      </c>
      <c r="B7" s="9" t="s">
        <v>15</v>
      </c>
      <c r="C7" s="10"/>
      <c r="D7" s="10"/>
      <c r="E7" s="10"/>
      <c r="F7" s="10"/>
      <c r="G7" s="11">
        <f t="shared" si="0"/>
        <v>0</v>
      </c>
      <c r="H7" s="12">
        <f t="shared" si="1"/>
        <v>0</v>
      </c>
      <c r="I7" s="13" t="e">
        <f t="shared" si="2"/>
        <v>#DIV/0!</v>
      </c>
      <c r="J7" s="13" t="e">
        <f t="shared" si="3"/>
        <v>#DIV/0!</v>
      </c>
    </row>
    <row r="8" spans="1:26" ht="15.75" customHeight="1" x14ac:dyDescent="0.25">
      <c r="A8" s="8">
        <v>6</v>
      </c>
      <c r="B8" s="9" t="s">
        <v>16</v>
      </c>
      <c r="C8" s="10"/>
      <c r="D8" s="10"/>
      <c r="E8" s="10"/>
      <c r="F8" s="10"/>
      <c r="G8" s="11">
        <f t="shared" si="0"/>
        <v>0</v>
      </c>
      <c r="H8" s="12">
        <f t="shared" si="1"/>
        <v>0</v>
      </c>
      <c r="I8" s="13" t="e">
        <f t="shared" si="2"/>
        <v>#DIV/0!</v>
      </c>
      <c r="J8" s="13" t="e">
        <f t="shared" si="3"/>
        <v>#DIV/0!</v>
      </c>
    </row>
    <row r="9" spans="1:26" ht="15.75" customHeight="1" x14ac:dyDescent="0.25">
      <c r="A9" s="8">
        <v>7</v>
      </c>
      <c r="B9" s="9" t="s">
        <v>17</v>
      </c>
      <c r="C9" s="10"/>
      <c r="D9" s="10"/>
      <c r="E9" s="10"/>
      <c r="F9" s="10"/>
      <c r="G9" s="11">
        <f t="shared" si="0"/>
        <v>0</v>
      </c>
      <c r="H9" s="12">
        <f t="shared" si="1"/>
        <v>0</v>
      </c>
      <c r="I9" s="13" t="e">
        <f t="shared" si="2"/>
        <v>#DIV/0!</v>
      </c>
      <c r="J9" s="13" t="e">
        <f t="shared" si="3"/>
        <v>#DIV/0!</v>
      </c>
    </row>
    <row r="10" spans="1:26" ht="15.75" customHeight="1" x14ac:dyDescent="0.25">
      <c r="A10" s="8">
        <v>8</v>
      </c>
      <c r="B10" s="9" t="s">
        <v>18</v>
      </c>
      <c r="C10" s="14"/>
      <c r="D10" s="10"/>
      <c r="E10" s="10"/>
      <c r="F10" s="14"/>
      <c r="G10" s="11">
        <f t="shared" si="0"/>
        <v>0</v>
      </c>
      <c r="H10" s="12">
        <f t="shared" si="1"/>
        <v>0</v>
      </c>
      <c r="I10" s="13" t="e">
        <f t="shared" si="2"/>
        <v>#DIV/0!</v>
      </c>
      <c r="J10" s="13" t="e">
        <f t="shared" si="3"/>
        <v>#DIV/0!</v>
      </c>
    </row>
    <row r="11" spans="1:26" ht="15.75" customHeight="1" x14ac:dyDescent="0.25">
      <c r="A11" s="8">
        <v>9</v>
      </c>
      <c r="B11" s="9" t="s">
        <v>19</v>
      </c>
      <c r="C11" s="14"/>
      <c r="D11" s="10"/>
      <c r="E11" s="10"/>
      <c r="F11" s="10"/>
      <c r="G11" s="11">
        <f t="shared" si="0"/>
        <v>0</v>
      </c>
      <c r="H11" s="12">
        <f t="shared" si="1"/>
        <v>0</v>
      </c>
      <c r="I11" s="13" t="e">
        <f t="shared" si="2"/>
        <v>#DIV/0!</v>
      </c>
      <c r="J11" s="13" t="e">
        <f t="shared" si="3"/>
        <v>#DIV/0!</v>
      </c>
    </row>
    <row r="12" spans="1:26" ht="15.75" customHeight="1" x14ac:dyDescent="0.25">
      <c r="A12" s="8">
        <v>10</v>
      </c>
      <c r="B12" s="9" t="s">
        <v>20</v>
      </c>
      <c r="C12" s="14"/>
      <c r="D12" s="10"/>
      <c r="E12" s="10"/>
      <c r="F12" s="14"/>
      <c r="G12" s="11">
        <f t="shared" si="0"/>
        <v>0</v>
      </c>
      <c r="H12" s="12">
        <f t="shared" si="1"/>
        <v>0</v>
      </c>
      <c r="I12" s="13" t="e">
        <f t="shared" si="2"/>
        <v>#DIV/0!</v>
      </c>
      <c r="J12" s="13" t="e">
        <f t="shared" si="3"/>
        <v>#DIV/0!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0</v>
      </c>
      <c r="D13" s="17">
        <f t="shared" si="4"/>
        <v>0</v>
      </c>
      <c r="E13" s="17">
        <f t="shared" si="4"/>
        <v>0</v>
      </c>
      <c r="F13" s="17">
        <f t="shared" si="4"/>
        <v>0</v>
      </c>
      <c r="G13" s="17">
        <f t="shared" si="4"/>
        <v>0</v>
      </c>
      <c r="H13" s="17">
        <f t="shared" si="4"/>
        <v>0</v>
      </c>
      <c r="I13" s="18" t="e">
        <f t="shared" si="2"/>
        <v>#DIV/0!</v>
      </c>
      <c r="J13" s="18" t="e">
        <f t="shared" si="3"/>
        <v>#DIV/0!</v>
      </c>
    </row>
    <row r="14" spans="1:26" ht="15.75" customHeight="1" x14ac:dyDescent="0.25">
      <c r="A14" s="1"/>
      <c r="B14" s="19" t="s">
        <v>104</v>
      </c>
      <c r="C14" s="20">
        <f>H13</f>
        <v>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22"/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/>
      <c r="D19" s="10"/>
      <c r="E19" s="11">
        <f t="shared" ref="E19:E28" si="5">C19-D19</f>
        <v>0</v>
      </c>
      <c r="F19" s="13" t="e">
        <f t="shared" ref="F19:F27" si="6">(D19/C19)*100%</f>
        <v>#DIV/0!</v>
      </c>
      <c r="G19" s="13" t="e">
        <f t="shared" ref="G19:G27" si="7">(E19/C19)*100%</f>
        <v>#DIV/0!</v>
      </c>
      <c r="H19" s="3"/>
      <c r="I19" s="3"/>
      <c r="J19" s="3"/>
    </row>
    <row r="20" spans="1:26" ht="15" x14ac:dyDescent="0.25">
      <c r="A20" s="8">
        <v>2</v>
      </c>
      <c r="B20" s="9" t="s">
        <v>12</v>
      </c>
      <c r="C20" s="10"/>
      <c r="D20" s="10"/>
      <c r="E20" s="11">
        <f t="shared" si="5"/>
        <v>0</v>
      </c>
      <c r="F20" s="13" t="e">
        <f t="shared" si="6"/>
        <v>#DIV/0!</v>
      </c>
      <c r="G20" s="13" t="e">
        <f t="shared" si="7"/>
        <v>#DIV/0!</v>
      </c>
      <c r="H20" s="3"/>
      <c r="I20" s="3"/>
      <c r="J20" s="3"/>
    </row>
    <row r="21" spans="1:26" ht="15" x14ac:dyDescent="0.25">
      <c r="A21" s="8">
        <v>3</v>
      </c>
      <c r="B21" s="9" t="s">
        <v>13</v>
      </c>
      <c r="C21" s="10"/>
      <c r="D21" s="10"/>
      <c r="E21" s="11">
        <f t="shared" si="5"/>
        <v>0</v>
      </c>
      <c r="F21" s="13" t="e">
        <f t="shared" si="6"/>
        <v>#DIV/0!</v>
      </c>
      <c r="G21" s="13" t="e">
        <f t="shared" si="7"/>
        <v>#DIV/0!</v>
      </c>
      <c r="H21" s="3"/>
      <c r="I21" s="3"/>
      <c r="J21" s="3"/>
    </row>
    <row r="22" spans="1:26" ht="15" x14ac:dyDescent="0.25">
      <c r="A22" s="8">
        <v>4</v>
      </c>
      <c r="B22" s="9" t="s">
        <v>14</v>
      </c>
      <c r="C22" s="10"/>
      <c r="D22" s="10"/>
      <c r="E22" s="11">
        <f t="shared" si="5"/>
        <v>0</v>
      </c>
      <c r="F22" s="13" t="e">
        <f t="shared" si="6"/>
        <v>#DIV/0!</v>
      </c>
      <c r="G22" s="13" t="e">
        <f t="shared" si="7"/>
        <v>#DIV/0!</v>
      </c>
      <c r="H22" s="3"/>
      <c r="I22" s="3"/>
      <c r="J22" s="3"/>
    </row>
    <row r="23" spans="1:26" ht="15" x14ac:dyDescent="0.25">
      <c r="A23" s="8">
        <v>5</v>
      </c>
      <c r="B23" s="9" t="s">
        <v>15</v>
      </c>
      <c r="C23" s="10"/>
      <c r="D23" s="10"/>
      <c r="E23" s="11">
        <f t="shared" si="5"/>
        <v>0</v>
      </c>
      <c r="F23" s="13" t="e">
        <f t="shared" si="6"/>
        <v>#DIV/0!</v>
      </c>
      <c r="G23" s="13" t="e">
        <f t="shared" si="7"/>
        <v>#DIV/0!</v>
      </c>
      <c r="H23" s="3"/>
      <c r="I23" s="3"/>
      <c r="J23" s="3"/>
    </row>
    <row r="24" spans="1:26" ht="15" x14ac:dyDescent="0.25">
      <c r="A24" s="8">
        <v>6</v>
      </c>
      <c r="B24" s="9" t="s">
        <v>16</v>
      </c>
      <c r="C24" s="10"/>
      <c r="D24" s="10"/>
      <c r="E24" s="11">
        <f t="shared" si="5"/>
        <v>0</v>
      </c>
      <c r="F24" s="13" t="e">
        <f t="shared" si="6"/>
        <v>#DIV/0!</v>
      </c>
      <c r="G24" s="13" t="e">
        <f t="shared" si="7"/>
        <v>#DIV/0!</v>
      </c>
      <c r="H24" s="3"/>
      <c r="I24" s="3"/>
      <c r="J24" s="3"/>
    </row>
    <row r="25" spans="1:26" ht="15" x14ac:dyDescent="0.25">
      <c r="A25" s="8">
        <v>7</v>
      </c>
      <c r="B25" s="9" t="s">
        <v>17</v>
      </c>
      <c r="C25" s="10"/>
      <c r="D25" s="10"/>
      <c r="E25" s="11">
        <f t="shared" si="5"/>
        <v>0</v>
      </c>
      <c r="F25" s="13" t="e">
        <f t="shared" si="6"/>
        <v>#DIV/0!</v>
      </c>
      <c r="G25" s="13" t="e">
        <f t="shared" si="7"/>
        <v>#DIV/0!</v>
      </c>
      <c r="H25" s="3"/>
      <c r="I25" s="3"/>
      <c r="J25" s="3"/>
    </row>
    <row r="26" spans="1:26" ht="15" x14ac:dyDescent="0.25">
      <c r="A26" s="8">
        <v>8</v>
      </c>
      <c r="B26" s="9" t="s">
        <v>18</v>
      </c>
      <c r="C26" s="14"/>
      <c r="D26" s="14"/>
      <c r="E26" s="11">
        <f t="shared" si="5"/>
        <v>0</v>
      </c>
      <c r="F26" s="13" t="e">
        <f t="shared" si="6"/>
        <v>#DIV/0!</v>
      </c>
      <c r="G26" s="13" t="e">
        <f t="shared" si="7"/>
        <v>#DIV/0!</v>
      </c>
      <c r="H26" s="3"/>
      <c r="I26" s="3"/>
      <c r="J26" s="3"/>
    </row>
    <row r="27" spans="1:26" ht="15" x14ac:dyDescent="0.25">
      <c r="A27" s="8">
        <v>9</v>
      </c>
      <c r="B27" s="9" t="s">
        <v>19</v>
      </c>
      <c r="C27" s="10"/>
      <c r="D27" s="10"/>
      <c r="E27" s="11">
        <f t="shared" si="5"/>
        <v>0</v>
      </c>
      <c r="F27" s="13" t="e">
        <f t="shared" si="6"/>
        <v>#DIV/0!</v>
      </c>
      <c r="G27" s="13" t="e">
        <f t="shared" si="7"/>
        <v>#DIV/0!</v>
      </c>
      <c r="H27" s="3"/>
      <c r="I27" s="3"/>
      <c r="J27" s="3"/>
    </row>
    <row r="28" spans="1:26" ht="15" x14ac:dyDescent="0.25">
      <c r="A28" s="8">
        <v>10</v>
      </c>
      <c r="B28" s="9" t="s">
        <v>20</v>
      </c>
      <c r="C28" s="10"/>
      <c r="D28" s="10"/>
      <c r="E28" s="11">
        <f t="shared" si="5"/>
        <v>0</v>
      </c>
      <c r="F28" s="8"/>
      <c r="G28" s="13"/>
      <c r="H28" s="3"/>
      <c r="I28" s="3"/>
      <c r="J28" s="3"/>
    </row>
    <row r="29" spans="1:26" ht="15" x14ac:dyDescent="0.25">
      <c r="A29" s="9"/>
      <c r="B29" s="16" t="s">
        <v>21</v>
      </c>
      <c r="C29" s="17">
        <f t="shared" ref="C29:E29" si="8">SUM(C19:C28)</f>
        <v>0</v>
      </c>
      <c r="D29" s="17">
        <f t="shared" si="8"/>
        <v>0</v>
      </c>
      <c r="E29" s="17">
        <f t="shared" si="8"/>
        <v>0</v>
      </c>
      <c r="F29" s="23">
        <v>0.25</v>
      </c>
      <c r="G29" s="23">
        <v>0.75</v>
      </c>
      <c r="H29" s="3"/>
      <c r="I29" s="3"/>
      <c r="J29" s="3"/>
    </row>
    <row r="30" spans="1:26" ht="15" x14ac:dyDescent="0.25">
      <c r="A30" s="3"/>
      <c r="B30" s="19" t="s">
        <v>30</v>
      </c>
      <c r="C30" s="20">
        <f>E29</f>
        <v>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105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/>
      <c r="D35" s="8"/>
      <c r="E35" s="8"/>
      <c r="F35" s="8">
        <f t="shared" ref="F35:F44" si="9">C35-D35-E35</f>
        <v>0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/>
      <c r="D36" s="8"/>
      <c r="E36" s="8"/>
      <c r="F36" s="8">
        <f t="shared" si="9"/>
        <v>0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/>
      <c r="D37" s="8"/>
      <c r="E37" s="8"/>
      <c r="F37" s="8">
        <f t="shared" si="9"/>
        <v>0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/>
      <c r="D38" s="8"/>
      <c r="E38" s="8"/>
      <c r="F38" s="8">
        <f t="shared" si="9"/>
        <v>0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/>
      <c r="D39" s="8"/>
      <c r="E39" s="8"/>
      <c r="F39" s="8">
        <f t="shared" si="9"/>
        <v>0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/>
      <c r="D40" s="8"/>
      <c r="E40" s="8"/>
      <c r="F40" s="8">
        <f t="shared" si="9"/>
        <v>0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/>
      <c r="D41" s="8"/>
      <c r="E41" s="8"/>
      <c r="F41" s="8">
        <f t="shared" si="9"/>
        <v>0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/>
      <c r="D42" s="8"/>
      <c r="E42" s="8"/>
      <c r="F42" s="8">
        <f t="shared" si="9"/>
        <v>0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/>
      <c r="D43" s="8"/>
      <c r="E43" s="8"/>
      <c r="F43" s="8">
        <f t="shared" si="9"/>
        <v>0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/>
      <c r="D44" s="8"/>
      <c r="E44" s="8"/>
      <c r="F44" s="8">
        <f t="shared" si="9"/>
        <v>0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10">SUM(C35:C44)</f>
        <v>0</v>
      </c>
      <c r="D45" s="25">
        <f t="shared" si="10"/>
        <v>0</v>
      </c>
      <c r="E45" s="25">
        <f t="shared" si="10"/>
        <v>0</v>
      </c>
      <c r="F45" s="25">
        <f t="shared" si="10"/>
        <v>0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109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110</v>
      </c>
      <c r="G49" s="4" t="s">
        <v>79</v>
      </c>
      <c r="H49" s="4" t="s">
        <v>80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1">F3</f>
        <v>0</v>
      </c>
      <c r="D50" s="10">
        <f t="shared" ref="D50:D59" si="12">D19</f>
        <v>0</v>
      </c>
      <c r="E50" s="10"/>
      <c r="F50" s="10">
        <f t="shared" ref="F50:F59" si="13">C50+D50+E50</f>
        <v>0</v>
      </c>
      <c r="G50" s="14"/>
      <c r="H50" s="10">
        <f t="shared" ref="H50:H59" si="14">F50-G50</f>
        <v>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1"/>
        <v>0</v>
      </c>
      <c r="D51" s="10">
        <f t="shared" si="12"/>
        <v>0</v>
      </c>
      <c r="E51" s="10"/>
      <c r="F51" s="10">
        <f t="shared" si="13"/>
        <v>0</v>
      </c>
      <c r="G51" s="14"/>
      <c r="H51" s="10">
        <f t="shared" si="14"/>
        <v>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1"/>
        <v>0</v>
      </c>
      <c r="D52" s="10">
        <f t="shared" si="12"/>
        <v>0</v>
      </c>
      <c r="E52" s="10"/>
      <c r="F52" s="10">
        <f t="shared" si="13"/>
        <v>0</v>
      </c>
      <c r="G52" s="14"/>
      <c r="H52" s="10">
        <f t="shared" si="14"/>
        <v>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1"/>
        <v>0</v>
      </c>
      <c r="D53" s="10">
        <f t="shared" si="12"/>
        <v>0</v>
      </c>
      <c r="E53" s="10"/>
      <c r="F53" s="10">
        <f t="shared" si="13"/>
        <v>0</v>
      </c>
      <c r="G53" s="14"/>
      <c r="H53" s="10">
        <f t="shared" si="14"/>
        <v>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1"/>
        <v>0</v>
      </c>
      <c r="D54" s="10">
        <f t="shared" si="12"/>
        <v>0</v>
      </c>
      <c r="E54" s="10"/>
      <c r="F54" s="10">
        <f t="shared" si="13"/>
        <v>0</v>
      </c>
      <c r="G54" s="14"/>
      <c r="H54" s="10">
        <f t="shared" si="14"/>
        <v>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1"/>
        <v>0</v>
      </c>
      <c r="D55" s="10">
        <f t="shared" si="12"/>
        <v>0</v>
      </c>
      <c r="E55" s="10"/>
      <c r="F55" s="10">
        <f t="shared" si="13"/>
        <v>0</v>
      </c>
      <c r="G55" s="14"/>
      <c r="H55" s="10">
        <f t="shared" si="14"/>
        <v>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1"/>
        <v>0</v>
      </c>
      <c r="D56" s="10">
        <f t="shared" si="12"/>
        <v>0</v>
      </c>
      <c r="E56" s="10"/>
      <c r="F56" s="10">
        <f t="shared" si="13"/>
        <v>0</v>
      </c>
      <c r="G56" s="10"/>
      <c r="H56" s="10">
        <f t="shared" si="14"/>
        <v>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1"/>
        <v>0</v>
      </c>
      <c r="D57" s="10">
        <f t="shared" si="12"/>
        <v>0</v>
      </c>
      <c r="E57" s="10"/>
      <c r="F57" s="10">
        <f t="shared" si="13"/>
        <v>0</v>
      </c>
      <c r="G57" s="10"/>
      <c r="H57" s="10">
        <f t="shared" si="14"/>
        <v>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1"/>
        <v>0</v>
      </c>
      <c r="D58" s="10">
        <f t="shared" si="12"/>
        <v>0</v>
      </c>
      <c r="E58" s="10"/>
      <c r="F58" s="10">
        <f t="shared" si="13"/>
        <v>0</v>
      </c>
      <c r="G58" s="14"/>
      <c r="H58" s="10">
        <f t="shared" si="14"/>
        <v>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1"/>
        <v>0</v>
      </c>
      <c r="D59" s="10">
        <f t="shared" si="12"/>
        <v>0</v>
      </c>
      <c r="E59" s="10"/>
      <c r="F59" s="10">
        <f t="shared" si="13"/>
        <v>0</v>
      </c>
      <c r="G59" s="14"/>
      <c r="H59" s="10">
        <f t="shared" si="14"/>
        <v>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5">SUM(C50:C59)</f>
        <v>0</v>
      </c>
      <c r="D60" s="17">
        <f t="shared" si="15"/>
        <v>0</v>
      </c>
      <c r="E60" s="17">
        <f t="shared" si="15"/>
        <v>0</v>
      </c>
      <c r="F60" s="17">
        <f t="shared" si="15"/>
        <v>0</v>
      </c>
      <c r="G60" s="17">
        <f t="shared" si="15"/>
        <v>0</v>
      </c>
      <c r="H60" s="17">
        <f t="shared" si="15"/>
        <v>0</v>
      </c>
      <c r="I60" s="3"/>
      <c r="J60" s="3"/>
    </row>
    <row r="61" spans="1:26" ht="15" x14ac:dyDescent="0.25">
      <c r="A61" s="1"/>
      <c r="B61" s="16" t="s">
        <v>21</v>
      </c>
      <c r="C61" s="17">
        <f>F60</f>
        <v>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106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107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108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/>
      <c r="D3" s="10"/>
      <c r="E3" s="10"/>
      <c r="F3" s="10"/>
      <c r="G3" s="11">
        <f t="shared" ref="G3:G12" si="0">D3+E3+F3</f>
        <v>0</v>
      </c>
      <c r="H3" s="12">
        <f t="shared" ref="H3:H12" si="1">C3-G3</f>
        <v>0</v>
      </c>
      <c r="I3" s="13" t="e">
        <f t="shared" ref="I3:I13" si="2">(G3/C3)*100%</f>
        <v>#DIV/0!</v>
      </c>
      <c r="J3" s="13" t="e">
        <f t="shared" ref="J3:J13" si="3">(H3/C3)*100%</f>
        <v>#DIV/0!</v>
      </c>
    </row>
    <row r="4" spans="1:26" ht="15.75" customHeight="1" x14ac:dyDescent="0.25">
      <c r="A4" s="8">
        <v>2</v>
      </c>
      <c r="B4" s="9" t="s">
        <v>12</v>
      </c>
      <c r="C4" s="10"/>
      <c r="D4" s="10"/>
      <c r="E4" s="10"/>
      <c r="F4" s="10"/>
      <c r="G4" s="11">
        <f t="shared" si="0"/>
        <v>0</v>
      </c>
      <c r="H4" s="12">
        <f t="shared" si="1"/>
        <v>0</v>
      </c>
      <c r="I4" s="13" t="e">
        <f t="shared" si="2"/>
        <v>#DIV/0!</v>
      </c>
      <c r="J4" s="13" t="e">
        <f t="shared" si="3"/>
        <v>#DIV/0!</v>
      </c>
    </row>
    <row r="5" spans="1:26" ht="15.75" customHeight="1" x14ac:dyDescent="0.25">
      <c r="A5" s="8">
        <v>3</v>
      </c>
      <c r="B5" s="9" t="s">
        <v>13</v>
      </c>
      <c r="C5" s="10"/>
      <c r="D5" s="10"/>
      <c r="E5" s="10"/>
      <c r="F5" s="10"/>
      <c r="G5" s="11">
        <f t="shared" si="0"/>
        <v>0</v>
      </c>
      <c r="H5" s="12">
        <f t="shared" si="1"/>
        <v>0</v>
      </c>
      <c r="I5" s="13" t="e">
        <f t="shared" si="2"/>
        <v>#DIV/0!</v>
      </c>
      <c r="J5" s="13" t="e">
        <f t="shared" si="3"/>
        <v>#DIV/0!</v>
      </c>
    </row>
    <row r="6" spans="1:26" ht="15.75" customHeight="1" x14ac:dyDescent="0.25">
      <c r="A6" s="8">
        <v>4</v>
      </c>
      <c r="B6" s="9" t="s">
        <v>14</v>
      </c>
      <c r="C6" s="10"/>
      <c r="D6" s="10"/>
      <c r="E6" s="10"/>
      <c r="F6" s="10"/>
      <c r="G6" s="11">
        <f t="shared" si="0"/>
        <v>0</v>
      </c>
      <c r="H6" s="12">
        <f t="shared" si="1"/>
        <v>0</v>
      </c>
      <c r="I6" s="13" t="e">
        <f t="shared" si="2"/>
        <v>#DIV/0!</v>
      </c>
      <c r="J6" s="13" t="e">
        <f t="shared" si="3"/>
        <v>#DIV/0!</v>
      </c>
    </row>
    <row r="7" spans="1:26" ht="15.75" customHeight="1" x14ac:dyDescent="0.25">
      <c r="A7" s="8">
        <v>5</v>
      </c>
      <c r="B7" s="9" t="s">
        <v>15</v>
      </c>
      <c r="C7" s="10"/>
      <c r="D7" s="10"/>
      <c r="E7" s="10"/>
      <c r="F7" s="10"/>
      <c r="G7" s="11">
        <f t="shared" si="0"/>
        <v>0</v>
      </c>
      <c r="H7" s="12">
        <f t="shared" si="1"/>
        <v>0</v>
      </c>
      <c r="I7" s="13" t="e">
        <f t="shared" si="2"/>
        <v>#DIV/0!</v>
      </c>
      <c r="J7" s="13" t="e">
        <f t="shared" si="3"/>
        <v>#DIV/0!</v>
      </c>
    </row>
    <row r="8" spans="1:26" ht="15.75" customHeight="1" x14ac:dyDescent="0.25">
      <c r="A8" s="8">
        <v>6</v>
      </c>
      <c r="B8" s="9" t="s">
        <v>16</v>
      </c>
      <c r="C8" s="10"/>
      <c r="D8" s="10"/>
      <c r="E8" s="10"/>
      <c r="F8" s="10"/>
      <c r="G8" s="11">
        <f t="shared" si="0"/>
        <v>0</v>
      </c>
      <c r="H8" s="12">
        <f t="shared" si="1"/>
        <v>0</v>
      </c>
      <c r="I8" s="13" t="e">
        <f t="shared" si="2"/>
        <v>#DIV/0!</v>
      </c>
      <c r="J8" s="13" t="e">
        <f t="shared" si="3"/>
        <v>#DIV/0!</v>
      </c>
    </row>
    <row r="9" spans="1:26" ht="15.75" customHeight="1" x14ac:dyDescent="0.25">
      <c r="A9" s="8">
        <v>7</v>
      </c>
      <c r="B9" s="9" t="s">
        <v>17</v>
      </c>
      <c r="C9" s="10"/>
      <c r="D9" s="10"/>
      <c r="E9" s="10"/>
      <c r="F9" s="10"/>
      <c r="G9" s="11">
        <f t="shared" si="0"/>
        <v>0</v>
      </c>
      <c r="H9" s="12">
        <f t="shared" si="1"/>
        <v>0</v>
      </c>
      <c r="I9" s="13" t="e">
        <f t="shared" si="2"/>
        <v>#DIV/0!</v>
      </c>
      <c r="J9" s="13" t="e">
        <f t="shared" si="3"/>
        <v>#DIV/0!</v>
      </c>
    </row>
    <row r="10" spans="1:26" ht="15.75" customHeight="1" x14ac:dyDescent="0.25">
      <c r="A10" s="8">
        <v>8</v>
      </c>
      <c r="B10" s="9" t="s">
        <v>18</v>
      </c>
      <c r="C10" s="14"/>
      <c r="D10" s="10"/>
      <c r="E10" s="10"/>
      <c r="F10" s="14"/>
      <c r="G10" s="11">
        <f t="shared" si="0"/>
        <v>0</v>
      </c>
      <c r="H10" s="12">
        <f t="shared" si="1"/>
        <v>0</v>
      </c>
      <c r="I10" s="13" t="e">
        <f t="shared" si="2"/>
        <v>#DIV/0!</v>
      </c>
      <c r="J10" s="13" t="e">
        <f t="shared" si="3"/>
        <v>#DIV/0!</v>
      </c>
    </row>
    <row r="11" spans="1:26" ht="15.75" customHeight="1" x14ac:dyDescent="0.25">
      <c r="A11" s="8">
        <v>9</v>
      </c>
      <c r="B11" s="9" t="s">
        <v>19</v>
      </c>
      <c r="C11" s="14"/>
      <c r="D11" s="10"/>
      <c r="E11" s="10"/>
      <c r="F11" s="14"/>
      <c r="G11" s="11">
        <f t="shared" si="0"/>
        <v>0</v>
      </c>
      <c r="H11" s="12">
        <f t="shared" si="1"/>
        <v>0</v>
      </c>
      <c r="I11" s="13" t="e">
        <f t="shared" si="2"/>
        <v>#DIV/0!</v>
      </c>
      <c r="J11" s="13" t="e">
        <f t="shared" si="3"/>
        <v>#DIV/0!</v>
      </c>
    </row>
    <row r="12" spans="1:26" ht="15.75" customHeight="1" x14ac:dyDescent="0.25">
      <c r="A12" s="8">
        <v>10</v>
      </c>
      <c r="B12" s="9" t="s">
        <v>20</v>
      </c>
      <c r="C12" s="14"/>
      <c r="D12" s="10"/>
      <c r="E12" s="10"/>
      <c r="F12" s="14"/>
      <c r="G12" s="11">
        <f t="shared" si="0"/>
        <v>0</v>
      </c>
      <c r="H12" s="12">
        <f t="shared" si="1"/>
        <v>0</v>
      </c>
      <c r="I12" s="13" t="e">
        <f t="shared" si="2"/>
        <v>#DIV/0!</v>
      </c>
      <c r="J12" s="13" t="e">
        <f t="shared" si="3"/>
        <v>#DIV/0!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0</v>
      </c>
      <c r="D13" s="17">
        <f t="shared" si="4"/>
        <v>0</v>
      </c>
      <c r="E13" s="17">
        <f t="shared" si="4"/>
        <v>0</v>
      </c>
      <c r="F13" s="17">
        <f t="shared" si="4"/>
        <v>0</v>
      </c>
      <c r="G13" s="17">
        <f t="shared" si="4"/>
        <v>0</v>
      </c>
      <c r="H13" s="17">
        <f t="shared" si="4"/>
        <v>0</v>
      </c>
      <c r="I13" s="18" t="e">
        <f t="shared" si="2"/>
        <v>#DIV/0!</v>
      </c>
      <c r="J13" s="18" t="e">
        <f t="shared" si="3"/>
        <v>#DIV/0!</v>
      </c>
    </row>
    <row r="14" spans="1:26" ht="15.75" customHeight="1" x14ac:dyDescent="0.25">
      <c r="A14" s="1"/>
      <c r="B14" s="19" t="s">
        <v>111</v>
      </c>
      <c r="C14" s="20">
        <f>H13</f>
        <v>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22"/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/>
      <c r="D19" s="10"/>
      <c r="E19" s="11"/>
      <c r="F19" s="13" t="e">
        <f t="shared" ref="F19:F27" si="5">(D19/C19)*100%</f>
        <v>#DIV/0!</v>
      </c>
      <c r="G19" s="13" t="e">
        <f t="shared" ref="G19:G27" si="6">(E19/C19)*100%</f>
        <v>#DIV/0!</v>
      </c>
      <c r="H19" s="3"/>
      <c r="I19" s="3"/>
      <c r="J19" s="3"/>
    </row>
    <row r="20" spans="1:26" ht="15" x14ac:dyDescent="0.25">
      <c r="A20" s="8">
        <v>2</v>
      </c>
      <c r="B20" s="9" t="s">
        <v>12</v>
      </c>
      <c r="C20" s="10"/>
      <c r="D20" s="10"/>
      <c r="E20" s="11"/>
      <c r="F20" s="13" t="e">
        <f t="shared" si="5"/>
        <v>#DIV/0!</v>
      </c>
      <c r="G20" s="13" t="e">
        <f t="shared" si="6"/>
        <v>#DIV/0!</v>
      </c>
      <c r="H20" s="3"/>
      <c r="I20" s="3"/>
      <c r="J20" s="3"/>
    </row>
    <row r="21" spans="1:26" ht="15" x14ac:dyDescent="0.25">
      <c r="A21" s="8">
        <v>3</v>
      </c>
      <c r="B21" s="9" t="s">
        <v>13</v>
      </c>
      <c r="C21" s="10"/>
      <c r="D21" s="10"/>
      <c r="E21" s="11"/>
      <c r="F21" s="13" t="e">
        <f t="shared" si="5"/>
        <v>#DIV/0!</v>
      </c>
      <c r="G21" s="13" t="e">
        <f t="shared" si="6"/>
        <v>#DIV/0!</v>
      </c>
      <c r="H21" s="3"/>
      <c r="I21" s="3"/>
      <c r="J21" s="3"/>
    </row>
    <row r="22" spans="1:26" ht="15" x14ac:dyDescent="0.25">
      <c r="A22" s="8">
        <v>4</v>
      </c>
      <c r="B22" s="9" t="s">
        <v>14</v>
      </c>
      <c r="C22" s="10"/>
      <c r="D22" s="10"/>
      <c r="E22" s="11"/>
      <c r="F22" s="13" t="e">
        <f t="shared" si="5"/>
        <v>#DIV/0!</v>
      </c>
      <c r="G22" s="13" t="e">
        <f t="shared" si="6"/>
        <v>#DIV/0!</v>
      </c>
      <c r="H22" s="3"/>
      <c r="I22" s="3"/>
      <c r="J22" s="3"/>
    </row>
    <row r="23" spans="1:26" ht="15" x14ac:dyDescent="0.25">
      <c r="A23" s="8">
        <v>5</v>
      </c>
      <c r="B23" s="9" t="s">
        <v>15</v>
      </c>
      <c r="C23" s="10"/>
      <c r="D23" s="10"/>
      <c r="E23" s="11"/>
      <c r="F23" s="13" t="e">
        <f t="shared" si="5"/>
        <v>#DIV/0!</v>
      </c>
      <c r="G23" s="13" t="e">
        <f t="shared" si="6"/>
        <v>#DIV/0!</v>
      </c>
      <c r="H23" s="3"/>
      <c r="I23" s="3"/>
      <c r="J23" s="3"/>
    </row>
    <row r="24" spans="1:26" ht="15" x14ac:dyDescent="0.25">
      <c r="A24" s="8">
        <v>6</v>
      </c>
      <c r="B24" s="9" t="s">
        <v>16</v>
      </c>
      <c r="C24" s="10"/>
      <c r="D24" s="10"/>
      <c r="E24" s="11"/>
      <c r="F24" s="13" t="e">
        <f t="shared" si="5"/>
        <v>#DIV/0!</v>
      </c>
      <c r="G24" s="13" t="e">
        <f t="shared" si="6"/>
        <v>#DIV/0!</v>
      </c>
      <c r="H24" s="3"/>
      <c r="I24" s="3"/>
      <c r="J24" s="3"/>
    </row>
    <row r="25" spans="1:26" ht="15" x14ac:dyDescent="0.25">
      <c r="A25" s="8">
        <v>7</v>
      </c>
      <c r="B25" s="9" t="s">
        <v>17</v>
      </c>
      <c r="C25" s="14"/>
      <c r="D25" s="10"/>
      <c r="E25" s="11"/>
      <c r="F25" s="13" t="e">
        <f t="shared" si="5"/>
        <v>#DIV/0!</v>
      </c>
      <c r="G25" s="13" t="e">
        <f t="shared" si="6"/>
        <v>#DIV/0!</v>
      </c>
      <c r="H25" s="3"/>
      <c r="I25" s="3"/>
      <c r="J25" s="3"/>
    </row>
    <row r="26" spans="1:26" ht="15" x14ac:dyDescent="0.25">
      <c r="A26" s="8">
        <v>8</v>
      </c>
      <c r="B26" s="9" t="s">
        <v>18</v>
      </c>
      <c r="C26" s="14"/>
      <c r="D26" s="14"/>
      <c r="E26" s="11"/>
      <c r="F26" s="13" t="e">
        <f t="shared" si="5"/>
        <v>#DIV/0!</v>
      </c>
      <c r="G26" s="13" t="e">
        <f t="shared" si="6"/>
        <v>#DIV/0!</v>
      </c>
      <c r="H26" s="3"/>
      <c r="I26" s="3"/>
      <c r="J26" s="3"/>
    </row>
    <row r="27" spans="1:26" ht="15" x14ac:dyDescent="0.25">
      <c r="A27" s="8">
        <v>9</v>
      </c>
      <c r="B27" s="9" t="s">
        <v>19</v>
      </c>
      <c r="C27" s="14"/>
      <c r="D27" s="14"/>
      <c r="E27" s="11"/>
      <c r="F27" s="13" t="e">
        <f t="shared" si="5"/>
        <v>#DIV/0!</v>
      </c>
      <c r="G27" s="13" t="e">
        <f t="shared" si="6"/>
        <v>#DIV/0!</v>
      </c>
      <c r="H27" s="3"/>
      <c r="I27" s="3"/>
      <c r="J27" s="3"/>
    </row>
    <row r="28" spans="1:26" ht="15" x14ac:dyDescent="0.25">
      <c r="A28" s="8">
        <v>10</v>
      </c>
      <c r="B28" s="9" t="s">
        <v>20</v>
      </c>
      <c r="C28" s="10"/>
      <c r="D28" s="10"/>
      <c r="E28" s="11"/>
      <c r="F28" s="8"/>
      <c r="G28" s="13"/>
      <c r="H28" s="3"/>
      <c r="I28" s="3"/>
      <c r="J28" s="3"/>
    </row>
    <row r="29" spans="1:26" ht="15" x14ac:dyDescent="0.25">
      <c r="A29" s="9"/>
      <c r="B29" s="16" t="s">
        <v>21</v>
      </c>
      <c r="C29" s="17">
        <f t="shared" ref="C29:E29" si="7">SUM(C19:C28)</f>
        <v>0</v>
      </c>
      <c r="D29" s="17">
        <f t="shared" si="7"/>
        <v>0</v>
      </c>
      <c r="E29" s="17">
        <f t="shared" si="7"/>
        <v>0</v>
      </c>
      <c r="F29" s="23">
        <v>0.25</v>
      </c>
      <c r="G29" s="23">
        <v>0.75</v>
      </c>
      <c r="H29" s="3"/>
      <c r="I29" s="3"/>
      <c r="J29" s="3"/>
    </row>
    <row r="30" spans="1:26" ht="15" x14ac:dyDescent="0.25">
      <c r="A30" s="3"/>
      <c r="B30" s="19" t="s">
        <v>30</v>
      </c>
      <c r="C30" s="20">
        <f>E29</f>
        <v>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112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/>
      <c r="D35" s="8"/>
      <c r="E35" s="8"/>
      <c r="F35" s="8">
        <f t="shared" ref="F35:F44" si="8">C35-D35-E35</f>
        <v>0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/>
      <c r="D36" s="8"/>
      <c r="E36" s="8"/>
      <c r="F36" s="8">
        <f t="shared" si="8"/>
        <v>0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/>
      <c r="D37" s="8"/>
      <c r="E37" s="8"/>
      <c r="F37" s="8">
        <f t="shared" si="8"/>
        <v>0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/>
      <c r="D38" s="8"/>
      <c r="E38" s="8"/>
      <c r="F38" s="8">
        <f t="shared" si="8"/>
        <v>0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/>
      <c r="D39" s="8"/>
      <c r="E39" s="8"/>
      <c r="F39" s="8">
        <f t="shared" si="8"/>
        <v>0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/>
      <c r="D40" s="8"/>
      <c r="E40" s="8"/>
      <c r="F40" s="8">
        <f t="shared" si="8"/>
        <v>0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/>
      <c r="D41" s="8"/>
      <c r="E41" s="8"/>
      <c r="F41" s="8">
        <f t="shared" si="8"/>
        <v>0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/>
      <c r="D42" s="8"/>
      <c r="E42" s="8"/>
      <c r="F42" s="8">
        <f t="shared" si="8"/>
        <v>0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/>
      <c r="D43" s="8"/>
      <c r="E43" s="8"/>
      <c r="F43" s="8">
        <f t="shared" si="8"/>
        <v>0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/>
      <c r="D44" s="8"/>
      <c r="E44" s="8"/>
      <c r="F44" s="8">
        <f t="shared" si="8"/>
        <v>0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9">SUM(C35:C44)</f>
        <v>0</v>
      </c>
      <c r="D45" s="25">
        <f t="shared" si="9"/>
        <v>0</v>
      </c>
      <c r="E45" s="25">
        <f t="shared" si="9"/>
        <v>0</v>
      </c>
      <c r="F45" s="25">
        <f t="shared" si="9"/>
        <v>0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113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114</v>
      </c>
      <c r="G49" s="4" t="s">
        <v>79</v>
      </c>
      <c r="H49" s="4" t="s">
        <v>80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0">F3</f>
        <v>0</v>
      </c>
      <c r="D50" s="10">
        <f t="shared" ref="D50:D59" si="11">D19</f>
        <v>0</v>
      </c>
      <c r="E50" s="10"/>
      <c r="F50" s="10">
        <f t="shared" ref="F50:F59" si="12">C50+D50+E50</f>
        <v>0</v>
      </c>
      <c r="G50" s="14"/>
      <c r="H50" s="10">
        <f t="shared" ref="H50:H59" si="13">F50-G50</f>
        <v>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0"/>
        <v>0</v>
      </c>
      <c r="D51" s="10">
        <f t="shared" si="11"/>
        <v>0</v>
      </c>
      <c r="E51" s="10"/>
      <c r="F51" s="10">
        <f t="shared" si="12"/>
        <v>0</v>
      </c>
      <c r="G51" s="14"/>
      <c r="H51" s="10">
        <f t="shared" si="13"/>
        <v>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0"/>
        <v>0</v>
      </c>
      <c r="D52" s="10">
        <f t="shared" si="11"/>
        <v>0</v>
      </c>
      <c r="E52" s="10"/>
      <c r="F52" s="10">
        <f t="shared" si="12"/>
        <v>0</v>
      </c>
      <c r="G52" s="14"/>
      <c r="H52" s="10">
        <f t="shared" si="13"/>
        <v>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0"/>
        <v>0</v>
      </c>
      <c r="D53" s="10">
        <f t="shared" si="11"/>
        <v>0</v>
      </c>
      <c r="E53" s="10"/>
      <c r="F53" s="10">
        <f t="shared" si="12"/>
        <v>0</v>
      </c>
      <c r="G53" s="14"/>
      <c r="H53" s="10">
        <f t="shared" si="13"/>
        <v>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0"/>
        <v>0</v>
      </c>
      <c r="D54" s="10">
        <f t="shared" si="11"/>
        <v>0</v>
      </c>
      <c r="E54" s="10"/>
      <c r="F54" s="10">
        <f t="shared" si="12"/>
        <v>0</v>
      </c>
      <c r="G54" s="14"/>
      <c r="H54" s="10">
        <f t="shared" si="13"/>
        <v>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0"/>
        <v>0</v>
      </c>
      <c r="D55" s="10">
        <f t="shared" si="11"/>
        <v>0</v>
      </c>
      <c r="E55" s="10"/>
      <c r="F55" s="10">
        <f t="shared" si="12"/>
        <v>0</v>
      </c>
      <c r="G55" s="14"/>
      <c r="H55" s="10">
        <f t="shared" si="13"/>
        <v>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0"/>
        <v>0</v>
      </c>
      <c r="D56" s="10">
        <f t="shared" si="11"/>
        <v>0</v>
      </c>
      <c r="E56" s="10"/>
      <c r="F56" s="10">
        <f t="shared" si="12"/>
        <v>0</v>
      </c>
      <c r="G56" s="10"/>
      <c r="H56" s="10">
        <f t="shared" si="13"/>
        <v>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0"/>
        <v>0</v>
      </c>
      <c r="D57" s="10">
        <f t="shared" si="11"/>
        <v>0</v>
      </c>
      <c r="E57" s="10"/>
      <c r="F57" s="10">
        <f t="shared" si="12"/>
        <v>0</v>
      </c>
      <c r="G57" s="10"/>
      <c r="H57" s="10">
        <f t="shared" si="13"/>
        <v>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0"/>
        <v>0</v>
      </c>
      <c r="D58" s="10">
        <f t="shared" si="11"/>
        <v>0</v>
      </c>
      <c r="E58" s="10"/>
      <c r="F58" s="10">
        <f t="shared" si="12"/>
        <v>0</v>
      </c>
      <c r="G58" s="14"/>
      <c r="H58" s="10">
        <f t="shared" si="13"/>
        <v>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0"/>
        <v>0</v>
      </c>
      <c r="D59" s="10">
        <f t="shared" si="11"/>
        <v>0</v>
      </c>
      <c r="E59" s="10"/>
      <c r="F59" s="10">
        <f t="shared" si="12"/>
        <v>0</v>
      </c>
      <c r="G59" s="14"/>
      <c r="H59" s="10">
        <f t="shared" si="13"/>
        <v>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4">SUM(C50:C59)</f>
        <v>0</v>
      </c>
      <c r="D60" s="17">
        <f t="shared" si="14"/>
        <v>0</v>
      </c>
      <c r="E60" s="17">
        <f t="shared" si="14"/>
        <v>0</v>
      </c>
      <c r="F60" s="17">
        <f t="shared" si="14"/>
        <v>0</v>
      </c>
      <c r="G60" s="17">
        <f t="shared" si="14"/>
        <v>0</v>
      </c>
      <c r="H60" s="17">
        <f t="shared" si="14"/>
        <v>0</v>
      </c>
      <c r="I60" s="3"/>
      <c r="J60" s="3"/>
    </row>
    <row r="61" spans="1:26" ht="15" x14ac:dyDescent="0.25">
      <c r="A61" s="1"/>
      <c r="B61" s="16" t="s">
        <v>21</v>
      </c>
      <c r="C61" s="17">
        <f>F60</f>
        <v>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115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116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117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>
        <v>216161700</v>
      </c>
      <c r="D3" s="10">
        <v>5278000</v>
      </c>
      <c r="E3" s="10">
        <v>252000</v>
      </c>
      <c r="F3" s="10">
        <v>193360300</v>
      </c>
      <c r="G3" s="11">
        <f t="shared" ref="G3:G12" si="0">D3+E3+F3</f>
        <v>198890300</v>
      </c>
      <c r="H3" s="12">
        <f t="shared" ref="H3:H12" si="1">C3-G3</f>
        <v>17271400</v>
      </c>
      <c r="I3" s="13">
        <f t="shared" ref="I3:I13" si="2">(G3/C3)*100%</f>
        <v>0.92009962912023735</v>
      </c>
      <c r="J3" s="13">
        <f t="shared" ref="J3:J13" si="3">(H3/C3)*100%</f>
        <v>7.9900370879762692E-2</v>
      </c>
    </row>
    <row r="4" spans="1:26" ht="15.75" customHeight="1" x14ac:dyDescent="0.25">
      <c r="A4" s="8">
        <v>2</v>
      </c>
      <c r="B4" s="9" t="s">
        <v>12</v>
      </c>
      <c r="C4" s="10">
        <v>124281000</v>
      </c>
      <c r="D4" s="10">
        <v>5551000</v>
      </c>
      <c r="E4" s="10">
        <v>0</v>
      </c>
      <c r="F4" s="10">
        <v>112900000</v>
      </c>
      <c r="G4" s="11">
        <f t="shared" si="0"/>
        <v>118451000</v>
      </c>
      <c r="H4" s="12">
        <f t="shared" si="1"/>
        <v>5830000</v>
      </c>
      <c r="I4" s="13">
        <f t="shared" si="2"/>
        <v>0.95309017468478685</v>
      </c>
      <c r="J4" s="13">
        <f t="shared" si="3"/>
        <v>4.6909825315213108E-2</v>
      </c>
    </row>
    <row r="5" spans="1:26" ht="15.75" customHeight="1" x14ac:dyDescent="0.25">
      <c r="A5" s="8">
        <v>3</v>
      </c>
      <c r="B5" s="9" t="s">
        <v>13</v>
      </c>
      <c r="C5" s="10">
        <v>189416000</v>
      </c>
      <c r="D5" s="10">
        <v>3417000</v>
      </c>
      <c r="E5" s="10">
        <v>28000</v>
      </c>
      <c r="F5" s="10">
        <v>177497000</v>
      </c>
      <c r="G5" s="11">
        <f t="shared" si="0"/>
        <v>180942000</v>
      </c>
      <c r="H5" s="12">
        <f t="shared" si="1"/>
        <v>8474000</v>
      </c>
      <c r="I5" s="13">
        <f t="shared" si="2"/>
        <v>0.95526249102504546</v>
      </c>
      <c r="J5" s="13">
        <f t="shared" si="3"/>
        <v>4.4737508974954598E-2</v>
      </c>
    </row>
    <row r="6" spans="1:26" ht="15.75" customHeight="1" x14ac:dyDescent="0.25">
      <c r="A6" s="8">
        <v>4</v>
      </c>
      <c r="B6" s="9" t="s">
        <v>14</v>
      </c>
      <c r="C6" s="10">
        <v>114129161</v>
      </c>
      <c r="D6" s="10">
        <v>3850300</v>
      </c>
      <c r="E6" s="10">
        <v>175000</v>
      </c>
      <c r="F6" s="10">
        <v>107084061</v>
      </c>
      <c r="G6" s="11">
        <f t="shared" si="0"/>
        <v>111109361</v>
      </c>
      <c r="H6" s="12">
        <f t="shared" si="1"/>
        <v>3019800</v>
      </c>
      <c r="I6" s="13">
        <f t="shared" si="2"/>
        <v>0.9735405046918727</v>
      </c>
      <c r="J6" s="13">
        <f t="shared" si="3"/>
        <v>2.6459495308127256E-2</v>
      </c>
    </row>
    <row r="7" spans="1:26" ht="15.75" customHeight="1" x14ac:dyDescent="0.25">
      <c r="A7" s="8">
        <v>5</v>
      </c>
      <c r="B7" s="9" t="s">
        <v>15</v>
      </c>
      <c r="C7" s="10">
        <v>17441200</v>
      </c>
      <c r="D7" s="10">
        <v>646000</v>
      </c>
      <c r="E7" s="10">
        <v>0</v>
      </c>
      <c r="F7" s="10">
        <v>15192200</v>
      </c>
      <c r="G7" s="11">
        <f t="shared" si="0"/>
        <v>15838200</v>
      </c>
      <c r="H7" s="12">
        <f t="shared" si="1"/>
        <v>1603000</v>
      </c>
      <c r="I7" s="13">
        <f t="shared" si="2"/>
        <v>0.90809118638625785</v>
      </c>
      <c r="J7" s="13">
        <f t="shared" si="3"/>
        <v>9.1908813613742174E-2</v>
      </c>
    </row>
    <row r="8" spans="1:26" ht="15.75" customHeight="1" x14ac:dyDescent="0.25">
      <c r="A8" s="8">
        <v>6</v>
      </c>
      <c r="B8" s="9" t="s">
        <v>16</v>
      </c>
      <c r="C8" s="10">
        <v>6353000</v>
      </c>
      <c r="D8" s="10">
        <v>288000</v>
      </c>
      <c r="E8" s="10">
        <v>0</v>
      </c>
      <c r="F8" s="10">
        <v>5654000</v>
      </c>
      <c r="G8" s="11">
        <f t="shared" si="0"/>
        <v>5942000</v>
      </c>
      <c r="H8" s="12">
        <f t="shared" si="1"/>
        <v>411000</v>
      </c>
      <c r="I8" s="13">
        <f t="shared" si="2"/>
        <v>0.93530615457264288</v>
      </c>
      <c r="J8" s="13">
        <f t="shared" si="3"/>
        <v>6.4693845427357149E-2</v>
      </c>
    </row>
    <row r="9" spans="1:26" ht="15.75" customHeight="1" x14ac:dyDescent="0.25">
      <c r="A9" s="8">
        <v>7</v>
      </c>
      <c r="B9" s="9" t="s">
        <v>17</v>
      </c>
      <c r="C9" s="14">
        <v>65971000</v>
      </c>
      <c r="D9" s="10">
        <v>1798000</v>
      </c>
      <c r="E9" s="10">
        <v>30000</v>
      </c>
      <c r="F9" s="10">
        <v>61192000</v>
      </c>
      <c r="G9" s="11">
        <f t="shared" si="0"/>
        <v>63020000</v>
      </c>
      <c r="H9" s="12">
        <f t="shared" si="1"/>
        <v>2951000</v>
      </c>
      <c r="I9" s="13">
        <f t="shared" si="2"/>
        <v>0.9552682239165694</v>
      </c>
      <c r="J9" s="13">
        <f t="shared" si="3"/>
        <v>4.4731776083430597E-2</v>
      </c>
    </row>
    <row r="10" spans="1:26" ht="15.75" customHeight="1" x14ac:dyDescent="0.25">
      <c r="A10" s="8">
        <v>8</v>
      </c>
      <c r="B10" s="9" t="s">
        <v>18</v>
      </c>
      <c r="C10" s="15">
        <v>90179000</v>
      </c>
      <c r="D10" s="15">
        <v>1423000</v>
      </c>
      <c r="E10" s="10">
        <v>0</v>
      </c>
      <c r="F10" s="15">
        <v>83463000</v>
      </c>
      <c r="G10" s="11">
        <f t="shared" si="0"/>
        <v>84886000</v>
      </c>
      <c r="H10" s="12">
        <f t="shared" si="1"/>
        <v>5293000</v>
      </c>
      <c r="I10" s="13">
        <f t="shared" si="2"/>
        <v>0.9413056254782155</v>
      </c>
      <c r="J10" s="13">
        <f t="shared" si="3"/>
        <v>5.869437452178445E-2</v>
      </c>
    </row>
    <row r="11" spans="1:26" ht="15.75" customHeight="1" x14ac:dyDescent="0.25">
      <c r="A11" s="8">
        <v>9</v>
      </c>
      <c r="B11" s="9" t="s">
        <v>19</v>
      </c>
      <c r="C11" s="14">
        <v>38608000</v>
      </c>
      <c r="D11" s="10">
        <v>353000</v>
      </c>
      <c r="E11" s="10">
        <v>0</v>
      </c>
      <c r="F11" s="14">
        <v>35231000</v>
      </c>
      <c r="G11" s="11">
        <f t="shared" si="0"/>
        <v>35584000</v>
      </c>
      <c r="H11" s="12">
        <f t="shared" si="1"/>
        <v>3024000</v>
      </c>
      <c r="I11" s="13">
        <f t="shared" si="2"/>
        <v>0.9216742644011604</v>
      </c>
      <c r="J11" s="13">
        <f t="shared" si="3"/>
        <v>7.8325735598839624E-2</v>
      </c>
    </row>
    <row r="12" spans="1:26" ht="15.75" customHeight="1" x14ac:dyDescent="0.25">
      <c r="A12" s="8">
        <v>10</v>
      </c>
      <c r="B12" s="9" t="s">
        <v>20</v>
      </c>
      <c r="C12" s="10">
        <v>53658000</v>
      </c>
      <c r="D12" s="10">
        <v>0</v>
      </c>
      <c r="E12" s="10">
        <v>0</v>
      </c>
      <c r="F12" s="10">
        <v>36348000</v>
      </c>
      <c r="G12" s="11">
        <f t="shared" si="0"/>
        <v>36348000</v>
      </c>
      <c r="H12" s="12">
        <f t="shared" si="1"/>
        <v>17310000</v>
      </c>
      <c r="I12" s="13">
        <f t="shared" si="2"/>
        <v>0.67740131946774018</v>
      </c>
      <c r="J12" s="13">
        <f t="shared" si="3"/>
        <v>0.32259868053225987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916198061</v>
      </c>
      <c r="D13" s="17">
        <f t="shared" si="4"/>
        <v>22604300</v>
      </c>
      <c r="E13" s="17">
        <f t="shared" si="4"/>
        <v>485000</v>
      </c>
      <c r="F13" s="17">
        <f t="shared" si="4"/>
        <v>827921561</v>
      </c>
      <c r="G13" s="17">
        <f t="shared" si="4"/>
        <v>851010861</v>
      </c>
      <c r="H13" s="17">
        <f t="shared" si="4"/>
        <v>65187200</v>
      </c>
      <c r="I13" s="18">
        <f t="shared" si="2"/>
        <v>0.9288503187522027</v>
      </c>
      <c r="J13" s="18">
        <f t="shared" si="3"/>
        <v>7.1149681247797358E-2</v>
      </c>
    </row>
    <row r="14" spans="1:26" ht="15.75" customHeight="1" x14ac:dyDescent="0.25">
      <c r="A14" s="1"/>
      <c r="B14" s="19" t="s">
        <v>22</v>
      </c>
      <c r="C14" s="20">
        <f>H13</f>
        <v>65187200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4" t="s">
        <v>29</v>
      </c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>
        <v>9980400</v>
      </c>
      <c r="D19" s="10">
        <v>4620000</v>
      </c>
      <c r="E19" s="11">
        <v>5360400</v>
      </c>
      <c r="F19" s="13">
        <f t="shared" ref="F19:F27" si="5">(D19/C19)*100%</f>
        <v>0.46290729830467719</v>
      </c>
      <c r="G19" s="13">
        <f t="shared" ref="G19:G27" si="6">(E19/C19)*100%</f>
        <v>0.53709270169532286</v>
      </c>
      <c r="H19" s="10">
        <v>1357000</v>
      </c>
      <c r="I19" s="3"/>
      <c r="J19" s="3"/>
    </row>
    <row r="20" spans="1:26" ht="15" x14ac:dyDescent="0.25">
      <c r="A20" s="8">
        <v>2</v>
      </c>
      <c r="B20" s="9" t="s">
        <v>12</v>
      </c>
      <c r="C20" s="10">
        <v>6324000</v>
      </c>
      <c r="D20" s="10">
        <v>2522000</v>
      </c>
      <c r="E20" s="11">
        <v>3802000</v>
      </c>
      <c r="F20" s="13">
        <f t="shared" si="5"/>
        <v>0.39879822896900696</v>
      </c>
      <c r="G20" s="13">
        <f t="shared" si="6"/>
        <v>0.60120177103099304</v>
      </c>
      <c r="H20" s="10">
        <v>333000</v>
      </c>
      <c r="I20" s="3"/>
      <c r="J20" s="3"/>
    </row>
    <row r="21" spans="1:26" ht="15" x14ac:dyDescent="0.25">
      <c r="A21" s="8">
        <v>3</v>
      </c>
      <c r="B21" s="9" t="s">
        <v>13</v>
      </c>
      <c r="C21" s="10">
        <v>6771000</v>
      </c>
      <c r="D21" s="10">
        <v>3001000</v>
      </c>
      <c r="E21" s="11">
        <v>3770000</v>
      </c>
      <c r="F21" s="13">
        <f t="shared" si="5"/>
        <v>0.44321370550878747</v>
      </c>
      <c r="G21" s="13">
        <f t="shared" si="6"/>
        <v>0.55678629449121253</v>
      </c>
      <c r="H21" s="10">
        <v>2118000</v>
      </c>
      <c r="I21" s="3"/>
      <c r="J21" s="3"/>
    </row>
    <row r="22" spans="1:26" ht="15" x14ac:dyDescent="0.25">
      <c r="A22" s="8">
        <v>4</v>
      </c>
      <c r="B22" s="9" t="s">
        <v>14</v>
      </c>
      <c r="C22" s="10">
        <v>1830100</v>
      </c>
      <c r="D22" s="10">
        <v>584000</v>
      </c>
      <c r="E22" s="11">
        <v>1246100</v>
      </c>
      <c r="F22" s="13">
        <f t="shared" si="5"/>
        <v>0.31910824545106825</v>
      </c>
      <c r="G22" s="13">
        <f t="shared" si="6"/>
        <v>0.6808917545489318</v>
      </c>
      <c r="H22" s="10">
        <v>1279000</v>
      </c>
      <c r="I22" s="3"/>
      <c r="J22" s="3"/>
    </row>
    <row r="23" spans="1:26" ht="15" x14ac:dyDescent="0.25">
      <c r="A23" s="8">
        <v>5</v>
      </c>
      <c r="B23" s="9" t="s">
        <v>15</v>
      </c>
      <c r="C23" s="10">
        <v>949400</v>
      </c>
      <c r="D23" s="10">
        <v>352000</v>
      </c>
      <c r="E23" s="11">
        <v>597400</v>
      </c>
      <c r="F23" s="13">
        <f t="shared" si="5"/>
        <v>0.37076048030334946</v>
      </c>
      <c r="G23" s="13">
        <f t="shared" si="6"/>
        <v>0.62923951969665048</v>
      </c>
      <c r="H23" s="10">
        <v>344200</v>
      </c>
      <c r="I23" s="3"/>
      <c r="J23" s="3"/>
    </row>
    <row r="24" spans="1:26" ht="15" x14ac:dyDescent="0.25">
      <c r="A24" s="8">
        <v>6</v>
      </c>
      <c r="B24" s="9" t="s">
        <v>16</v>
      </c>
      <c r="C24" s="10">
        <v>0</v>
      </c>
      <c r="D24" s="10">
        <v>0</v>
      </c>
      <c r="E24" s="11">
        <v>0</v>
      </c>
      <c r="F24" s="13" t="e">
        <f t="shared" si="5"/>
        <v>#DIV/0!</v>
      </c>
      <c r="G24" s="13" t="e">
        <f t="shared" si="6"/>
        <v>#DIV/0!</v>
      </c>
      <c r="H24" s="10"/>
      <c r="I24" s="3"/>
      <c r="J24" s="3"/>
    </row>
    <row r="25" spans="1:26" ht="15" x14ac:dyDescent="0.25">
      <c r="A25" s="8">
        <v>7</v>
      </c>
      <c r="B25" s="9" t="s">
        <v>17</v>
      </c>
      <c r="C25" s="14">
        <v>3625000</v>
      </c>
      <c r="D25" s="10">
        <v>2619000</v>
      </c>
      <c r="E25" s="11">
        <v>1006000</v>
      </c>
      <c r="F25" s="13">
        <f t="shared" si="5"/>
        <v>0.72248275862068967</v>
      </c>
      <c r="G25" s="13">
        <f t="shared" si="6"/>
        <v>0.27751724137931033</v>
      </c>
      <c r="H25" s="10">
        <v>1260000</v>
      </c>
      <c r="I25" s="3"/>
      <c r="J25" s="3"/>
    </row>
    <row r="26" spans="1:26" ht="15" x14ac:dyDescent="0.25">
      <c r="A26" s="8">
        <v>8</v>
      </c>
      <c r="B26" s="9" t="s">
        <v>18</v>
      </c>
      <c r="C26" s="15">
        <v>10172000</v>
      </c>
      <c r="D26" s="15">
        <v>5400000</v>
      </c>
      <c r="E26" s="11">
        <v>4772000</v>
      </c>
      <c r="F26" s="13">
        <f t="shared" si="5"/>
        <v>0.53086905230043258</v>
      </c>
      <c r="G26" s="13">
        <f t="shared" si="6"/>
        <v>0.46913094769956742</v>
      </c>
      <c r="H26" s="10">
        <v>1800000</v>
      </c>
      <c r="I26" s="3"/>
      <c r="J26" s="3"/>
    </row>
    <row r="27" spans="1:26" ht="15" x14ac:dyDescent="0.25">
      <c r="A27" s="8">
        <v>9</v>
      </c>
      <c r="B27" s="9" t="s">
        <v>19</v>
      </c>
      <c r="C27" s="14">
        <v>3281000</v>
      </c>
      <c r="D27" s="10">
        <v>1506000</v>
      </c>
      <c r="E27" s="11">
        <v>1775000</v>
      </c>
      <c r="F27" s="13">
        <f t="shared" si="5"/>
        <v>0.45900640048765623</v>
      </c>
      <c r="G27" s="13">
        <f t="shared" si="6"/>
        <v>0.54099359951234383</v>
      </c>
      <c r="H27" s="10">
        <v>618000</v>
      </c>
      <c r="I27" s="3"/>
      <c r="J27" s="3"/>
    </row>
    <row r="28" spans="1:26" ht="15" x14ac:dyDescent="0.25">
      <c r="A28" s="8">
        <v>10</v>
      </c>
      <c r="B28" s="9" t="s">
        <v>20</v>
      </c>
      <c r="C28" s="10">
        <v>17458000</v>
      </c>
      <c r="D28" s="10">
        <v>5813000</v>
      </c>
      <c r="E28" s="11">
        <v>11645000</v>
      </c>
      <c r="F28" s="8">
        <v>0</v>
      </c>
      <c r="G28" s="13">
        <v>0</v>
      </c>
      <c r="H28" s="10">
        <v>0</v>
      </c>
      <c r="I28" s="3"/>
      <c r="J28" s="3"/>
    </row>
    <row r="29" spans="1:26" ht="15" x14ac:dyDescent="0.25">
      <c r="A29" s="9"/>
      <c r="B29" s="16" t="s">
        <v>21</v>
      </c>
      <c r="C29" s="17">
        <f t="shared" ref="C29:E29" si="7">SUM(C19:C28)</f>
        <v>60390900</v>
      </c>
      <c r="D29" s="17">
        <f t="shared" si="7"/>
        <v>26417000</v>
      </c>
      <c r="E29" s="17">
        <f t="shared" si="7"/>
        <v>33973900</v>
      </c>
      <c r="F29" s="23">
        <v>0.25</v>
      </c>
      <c r="G29" s="23">
        <v>0.75</v>
      </c>
      <c r="H29" s="17">
        <f>SUM(H19:H28)</f>
        <v>9109200</v>
      </c>
      <c r="I29" s="3"/>
      <c r="J29" s="3"/>
    </row>
    <row r="30" spans="1:26" ht="15" x14ac:dyDescent="0.25">
      <c r="A30" s="3"/>
      <c r="B30" s="19" t="s">
        <v>30</v>
      </c>
      <c r="C30" s="20">
        <f>E29</f>
        <v>33973900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118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>
        <v>1643</v>
      </c>
      <c r="D35" s="8">
        <v>40</v>
      </c>
      <c r="E35" s="8">
        <v>1485</v>
      </c>
      <c r="F35" s="8">
        <f t="shared" ref="F35:F44" si="8">C35-D35-E35</f>
        <v>118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>
        <v>1046</v>
      </c>
      <c r="D36" s="8">
        <v>45</v>
      </c>
      <c r="E36" s="8">
        <v>951</v>
      </c>
      <c r="F36" s="8">
        <f t="shared" si="8"/>
        <v>50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>
        <v>1385</v>
      </c>
      <c r="D37" s="8">
        <v>24</v>
      </c>
      <c r="E37" s="8">
        <v>1304</v>
      </c>
      <c r="F37" s="8">
        <f t="shared" si="8"/>
        <v>57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>
        <v>796</v>
      </c>
      <c r="D38" s="8">
        <v>27</v>
      </c>
      <c r="E38" s="8">
        <v>747</v>
      </c>
      <c r="F38" s="8">
        <f t="shared" si="8"/>
        <v>22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>
        <v>148</v>
      </c>
      <c r="D39" s="8">
        <v>4</v>
      </c>
      <c r="E39" s="8">
        <v>129</v>
      </c>
      <c r="F39" s="8">
        <f t="shared" si="8"/>
        <v>15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>
        <v>47</v>
      </c>
      <c r="D40" s="8">
        <v>2</v>
      </c>
      <c r="E40" s="8">
        <v>43</v>
      </c>
      <c r="F40" s="8">
        <f t="shared" si="8"/>
        <v>2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>
        <v>532</v>
      </c>
      <c r="D41" s="8">
        <v>15</v>
      </c>
      <c r="E41" s="8">
        <v>490</v>
      </c>
      <c r="F41" s="8">
        <f t="shared" si="8"/>
        <v>27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>
        <v>792</v>
      </c>
      <c r="D42" s="8">
        <v>8</v>
      </c>
      <c r="E42" s="8">
        <v>729</v>
      </c>
      <c r="F42" s="8">
        <f t="shared" si="8"/>
        <v>55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>
        <v>284</v>
      </c>
      <c r="D43" s="8">
        <v>3</v>
      </c>
      <c r="E43" s="8">
        <v>258</v>
      </c>
      <c r="F43" s="8">
        <f t="shared" si="8"/>
        <v>23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>
        <v>563</v>
      </c>
      <c r="D44" s="8">
        <v>0</v>
      </c>
      <c r="E44" s="8">
        <v>384</v>
      </c>
      <c r="F44" s="8">
        <f t="shared" si="8"/>
        <v>179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9">SUM(C35:C44)</f>
        <v>7236</v>
      </c>
      <c r="D45" s="25">
        <f t="shared" si="9"/>
        <v>168</v>
      </c>
      <c r="E45" s="25">
        <f t="shared" si="9"/>
        <v>6520</v>
      </c>
      <c r="F45" s="25">
        <f t="shared" si="9"/>
        <v>548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119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37</v>
      </c>
      <c r="G49" s="4" t="s">
        <v>38</v>
      </c>
      <c r="H49" s="4" t="s">
        <v>120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8" si="10">F3</f>
        <v>193360300</v>
      </c>
      <c r="D50" s="10">
        <f t="shared" ref="D50:D58" si="11">D19</f>
        <v>4620000</v>
      </c>
      <c r="E50" s="10">
        <v>6590428</v>
      </c>
      <c r="F50" s="10">
        <v>3715000</v>
      </c>
      <c r="G50" s="10">
        <v>275000</v>
      </c>
      <c r="H50" s="10">
        <f t="shared" ref="H50:H59" si="12">SUM(C50:G50)</f>
        <v>208560728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0"/>
        <v>112900000</v>
      </c>
      <c r="D51" s="10">
        <f t="shared" si="11"/>
        <v>2522000</v>
      </c>
      <c r="E51" s="10">
        <v>7754000</v>
      </c>
      <c r="F51" s="10">
        <v>1673000</v>
      </c>
      <c r="G51" s="10">
        <v>140000</v>
      </c>
      <c r="H51" s="10">
        <f t="shared" si="12"/>
        <v>124989000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0"/>
        <v>177497000</v>
      </c>
      <c r="D52" s="10">
        <f t="shared" si="11"/>
        <v>3001000</v>
      </c>
      <c r="E52" s="10">
        <v>4854000</v>
      </c>
      <c r="F52" s="10">
        <v>2609000</v>
      </c>
      <c r="G52" s="10"/>
      <c r="H52" s="10">
        <f t="shared" si="12"/>
        <v>187961000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0"/>
        <v>107084061</v>
      </c>
      <c r="D53" s="10">
        <f t="shared" si="11"/>
        <v>584000</v>
      </c>
      <c r="E53" s="10">
        <v>1925800</v>
      </c>
      <c r="F53" s="10">
        <v>5173000</v>
      </c>
      <c r="G53" s="10">
        <v>100000</v>
      </c>
      <c r="H53" s="10">
        <f t="shared" si="12"/>
        <v>114866861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0"/>
        <v>15192200</v>
      </c>
      <c r="D54" s="10">
        <f t="shared" si="11"/>
        <v>352000</v>
      </c>
      <c r="E54" s="10">
        <v>429000</v>
      </c>
      <c r="F54" s="10">
        <v>348000</v>
      </c>
      <c r="G54" s="10"/>
      <c r="H54" s="10">
        <f t="shared" si="12"/>
        <v>16321200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0"/>
        <v>5654000</v>
      </c>
      <c r="D55" s="10">
        <f t="shared" si="11"/>
        <v>0</v>
      </c>
      <c r="E55" s="10">
        <v>150000</v>
      </c>
      <c r="F55" s="10">
        <v>871000</v>
      </c>
      <c r="G55" s="10"/>
      <c r="H55" s="10">
        <f t="shared" si="12"/>
        <v>6675000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0"/>
        <v>61192000</v>
      </c>
      <c r="D56" s="10">
        <f t="shared" si="11"/>
        <v>2619000</v>
      </c>
      <c r="E56" s="10">
        <v>1422000</v>
      </c>
      <c r="F56" s="10">
        <v>203000</v>
      </c>
      <c r="G56" s="10">
        <v>300000</v>
      </c>
      <c r="H56" s="10">
        <f t="shared" si="12"/>
        <v>65736000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0"/>
        <v>83463000</v>
      </c>
      <c r="D57" s="10">
        <f t="shared" si="11"/>
        <v>5400000</v>
      </c>
      <c r="E57" s="10">
        <v>1120000</v>
      </c>
      <c r="F57" s="10">
        <v>2457500</v>
      </c>
      <c r="G57" s="10"/>
      <c r="H57" s="10">
        <f t="shared" si="12"/>
        <v>92440500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0"/>
        <v>35231000</v>
      </c>
      <c r="D58" s="10">
        <f t="shared" si="11"/>
        <v>1506000</v>
      </c>
      <c r="E58" s="10">
        <v>0</v>
      </c>
      <c r="F58" s="10">
        <v>689000</v>
      </c>
      <c r="G58" s="10"/>
      <c r="H58" s="10">
        <f t="shared" si="12"/>
        <v>37426000</v>
      </c>
      <c r="I58" s="3"/>
      <c r="J58" s="3"/>
    </row>
    <row r="59" spans="1:26" ht="15" x14ac:dyDescent="0.25">
      <c r="A59" s="8">
        <v>10</v>
      </c>
      <c r="B59" s="9" t="s">
        <v>20</v>
      </c>
      <c r="C59" s="10"/>
      <c r="D59" s="10"/>
      <c r="E59" s="10"/>
      <c r="F59" s="10">
        <v>643500</v>
      </c>
      <c r="G59" s="10"/>
      <c r="H59" s="10">
        <f t="shared" si="12"/>
        <v>643500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3">SUM(C50:C59)</f>
        <v>791573561</v>
      </c>
      <c r="D60" s="17">
        <f t="shared" si="13"/>
        <v>20604000</v>
      </c>
      <c r="E60" s="17">
        <f t="shared" si="13"/>
        <v>24245228</v>
      </c>
      <c r="F60" s="17">
        <f t="shared" si="13"/>
        <v>18382000</v>
      </c>
      <c r="G60" s="17">
        <f t="shared" si="13"/>
        <v>815000</v>
      </c>
      <c r="H60" s="17">
        <f t="shared" si="13"/>
        <v>855619789</v>
      </c>
      <c r="I60" s="3"/>
      <c r="J60" s="3"/>
    </row>
    <row r="61" spans="1:26" ht="15" x14ac:dyDescent="0.25">
      <c r="A61" s="1"/>
      <c r="B61" s="16" t="s">
        <v>21</v>
      </c>
      <c r="C61" s="17">
        <f>F60</f>
        <v>18382000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121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122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123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>
        <v>212466700</v>
      </c>
      <c r="D3" s="10">
        <v>9899000</v>
      </c>
      <c r="E3" s="10">
        <v>173000</v>
      </c>
      <c r="F3" s="10">
        <v>194755300</v>
      </c>
      <c r="G3" s="11">
        <f t="shared" ref="G3:G12" si="0">D3+E3+F3</f>
        <v>204827300</v>
      </c>
      <c r="H3" s="12">
        <f t="shared" ref="H3:H12" si="1">C3-G3</f>
        <v>7639400</v>
      </c>
      <c r="I3" s="13">
        <f t="shared" ref="I3:I13" si="2">(G3/C3)*100%</f>
        <v>0.96404424787507881</v>
      </c>
      <c r="J3" s="13">
        <f t="shared" ref="J3:J13" si="3">(H3/C3)*100%</f>
        <v>3.595575212492122E-2</v>
      </c>
    </row>
    <row r="4" spans="1:26" ht="15.75" customHeight="1" x14ac:dyDescent="0.25">
      <c r="A4" s="8">
        <v>2</v>
      </c>
      <c r="B4" s="9" t="s">
        <v>12</v>
      </c>
      <c r="C4" s="10">
        <v>123908000</v>
      </c>
      <c r="D4" s="10">
        <v>5952000</v>
      </c>
      <c r="E4" s="10">
        <v>35000</v>
      </c>
      <c r="F4" s="10">
        <v>114206000</v>
      </c>
      <c r="G4" s="11">
        <f t="shared" si="0"/>
        <v>120193000</v>
      </c>
      <c r="H4" s="12">
        <f t="shared" si="1"/>
        <v>3715000</v>
      </c>
      <c r="I4" s="13">
        <f t="shared" si="2"/>
        <v>0.97001807792878592</v>
      </c>
      <c r="J4" s="13">
        <f t="shared" si="3"/>
        <v>2.9981922071214126E-2</v>
      </c>
    </row>
    <row r="5" spans="1:26" ht="15.75" customHeight="1" x14ac:dyDescent="0.25">
      <c r="A5" s="8">
        <v>3</v>
      </c>
      <c r="B5" s="9" t="s">
        <v>13</v>
      </c>
      <c r="C5" s="10">
        <v>187890000</v>
      </c>
      <c r="D5" s="10">
        <v>4388000</v>
      </c>
      <c r="E5" s="10">
        <v>28000</v>
      </c>
      <c r="F5" s="10">
        <v>177601000</v>
      </c>
      <c r="G5" s="11">
        <f t="shared" si="0"/>
        <v>182017000</v>
      </c>
      <c r="H5" s="12">
        <f t="shared" si="1"/>
        <v>5873000</v>
      </c>
      <c r="I5" s="13">
        <f t="shared" si="2"/>
        <v>0.96874234924689984</v>
      </c>
      <c r="J5" s="13">
        <f t="shared" si="3"/>
        <v>3.1257650753100219E-2</v>
      </c>
    </row>
    <row r="6" spans="1:26" ht="15.75" customHeight="1" x14ac:dyDescent="0.25">
      <c r="A6" s="8">
        <v>4</v>
      </c>
      <c r="B6" s="9" t="s">
        <v>14</v>
      </c>
      <c r="C6" s="10">
        <v>110483800</v>
      </c>
      <c r="D6" s="10">
        <v>3679000</v>
      </c>
      <c r="E6" s="10">
        <v>50000</v>
      </c>
      <c r="F6" s="10">
        <v>104943700</v>
      </c>
      <c r="G6" s="11">
        <f t="shared" si="0"/>
        <v>108672700</v>
      </c>
      <c r="H6" s="12">
        <f t="shared" si="1"/>
        <v>1811100</v>
      </c>
      <c r="I6" s="13">
        <f t="shared" si="2"/>
        <v>0.98360755151433965</v>
      </c>
      <c r="J6" s="13">
        <f t="shared" si="3"/>
        <v>1.6392448485660342E-2</v>
      </c>
    </row>
    <row r="7" spans="1:26" ht="15.75" customHeight="1" x14ac:dyDescent="0.25">
      <c r="A7" s="8">
        <v>5</v>
      </c>
      <c r="B7" s="9" t="s">
        <v>15</v>
      </c>
      <c r="C7" s="10">
        <v>17125000</v>
      </c>
      <c r="D7" s="10">
        <v>756000</v>
      </c>
      <c r="E7" s="10">
        <v>0</v>
      </c>
      <c r="F7" s="10">
        <v>15424000</v>
      </c>
      <c r="G7" s="11">
        <f t="shared" si="0"/>
        <v>16180000</v>
      </c>
      <c r="H7" s="12">
        <f t="shared" si="1"/>
        <v>945000</v>
      </c>
      <c r="I7" s="13">
        <f t="shared" si="2"/>
        <v>0.94481751824817517</v>
      </c>
      <c r="J7" s="13">
        <f t="shared" si="3"/>
        <v>5.5182481751824816E-2</v>
      </c>
    </row>
    <row r="8" spans="1:26" ht="15.75" customHeight="1" x14ac:dyDescent="0.25">
      <c r="A8" s="8">
        <v>6</v>
      </c>
      <c r="B8" s="9" t="s">
        <v>16</v>
      </c>
      <c r="C8" s="10">
        <v>5789000</v>
      </c>
      <c r="D8" s="10">
        <v>498000</v>
      </c>
      <c r="E8" s="10">
        <v>0</v>
      </c>
      <c r="F8" s="10">
        <v>5291000</v>
      </c>
      <c r="G8" s="11">
        <f t="shared" si="0"/>
        <v>5789000</v>
      </c>
      <c r="H8" s="12">
        <f t="shared" si="1"/>
        <v>0</v>
      </c>
      <c r="I8" s="13">
        <f t="shared" si="2"/>
        <v>1</v>
      </c>
      <c r="J8" s="13">
        <f t="shared" si="3"/>
        <v>0</v>
      </c>
    </row>
    <row r="9" spans="1:26" ht="15.75" customHeight="1" x14ac:dyDescent="0.25">
      <c r="A9" s="8">
        <v>7</v>
      </c>
      <c r="B9" s="9" t="s">
        <v>17</v>
      </c>
      <c r="C9" s="14">
        <v>66073000</v>
      </c>
      <c r="D9" s="10">
        <v>1986000</v>
      </c>
      <c r="E9" s="10">
        <v>30000</v>
      </c>
      <c r="F9" s="10">
        <v>61408000</v>
      </c>
      <c r="G9" s="11">
        <f t="shared" si="0"/>
        <v>63424000</v>
      </c>
      <c r="H9" s="12">
        <f t="shared" si="1"/>
        <v>2649000</v>
      </c>
      <c r="I9" s="13">
        <f t="shared" si="2"/>
        <v>0.9599079805669487</v>
      </c>
      <c r="J9" s="13">
        <f t="shared" si="3"/>
        <v>4.0092019433051324E-2</v>
      </c>
    </row>
    <row r="10" spans="1:26" ht="15.75" customHeight="1" x14ac:dyDescent="0.25">
      <c r="A10" s="8">
        <v>8</v>
      </c>
      <c r="B10" s="9" t="s">
        <v>18</v>
      </c>
      <c r="C10" s="15">
        <v>89040000</v>
      </c>
      <c r="D10" s="15">
        <v>900000</v>
      </c>
      <c r="E10" s="10">
        <v>0</v>
      </c>
      <c r="F10" s="15">
        <v>81720000</v>
      </c>
      <c r="G10" s="11">
        <f t="shared" si="0"/>
        <v>82620000</v>
      </c>
      <c r="H10" s="12">
        <f t="shared" si="1"/>
        <v>6420000</v>
      </c>
      <c r="I10" s="13">
        <f t="shared" si="2"/>
        <v>0.92789757412398921</v>
      </c>
      <c r="J10" s="13">
        <f t="shared" si="3"/>
        <v>7.2102425876010776E-2</v>
      </c>
    </row>
    <row r="11" spans="1:26" ht="15.75" customHeight="1" x14ac:dyDescent="0.25">
      <c r="A11" s="8">
        <v>9</v>
      </c>
      <c r="B11" s="9" t="s">
        <v>19</v>
      </c>
      <c r="C11" s="14">
        <v>36544000</v>
      </c>
      <c r="D11" s="10">
        <v>353000</v>
      </c>
      <c r="E11" s="10">
        <v>0</v>
      </c>
      <c r="F11" s="14">
        <v>33475000</v>
      </c>
      <c r="G11" s="11">
        <f t="shared" si="0"/>
        <v>33828000</v>
      </c>
      <c r="H11" s="12">
        <f t="shared" si="1"/>
        <v>2716000</v>
      </c>
      <c r="I11" s="13">
        <f t="shared" si="2"/>
        <v>0.92567863397548156</v>
      </c>
      <c r="J11" s="13">
        <f t="shared" si="3"/>
        <v>7.4321366024518387E-2</v>
      </c>
    </row>
    <row r="12" spans="1:26" ht="15.75" customHeight="1" x14ac:dyDescent="0.25">
      <c r="A12" s="8">
        <v>10</v>
      </c>
      <c r="B12" s="9" t="s">
        <v>20</v>
      </c>
      <c r="C12" s="10">
        <v>48240000</v>
      </c>
      <c r="D12" s="10">
        <v>0</v>
      </c>
      <c r="E12" s="10">
        <v>0</v>
      </c>
      <c r="F12" s="10">
        <v>31832000</v>
      </c>
      <c r="G12" s="11">
        <f t="shared" si="0"/>
        <v>31832000</v>
      </c>
      <c r="H12" s="12">
        <f t="shared" si="1"/>
        <v>16408000</v>
      </c>
      <c r="I12" s="13">
        <f t="shared" si="2"/>
        <v>0.65986733001658371</v>
      </c>
      <c r="J12" s="13">
        <f t="shared" si="3"/>
        <v>0.34013266998341624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897559500</v>
      </c>
      <c r="D13" s="17">
        <f t="shared" si="4"/>
        <v>28411000</v>
      </c>
      <c r="E13" s="17">
        <f t="shared" si="4"/>
        <v>316000</v>
      </c>
      <c r="F13" s="17">
        <f t="shared" si="4"/>
        <v>820656000</v>
      </c>
      <c r="G13" s="17">
        <f t="shared" si="4"/>
        <v>849383000</v>
      </c>
      <c r="H13" s="17">
        <f t="shared" si="4"/>
        <v>48176500</v>
      </c>
      <c r="I13" s="18">
        <f t="shared" si="2"/>
        <v>0.94632500686584009</v>
      </c>
      <c r="J13" s="18">
        <f t="shared" si="3"/>
        <v>5.367499313415991E-2</v>
      </c>
    </row>
    <row r="14" spans="1:26" ht="15.75" customHeight="1" x14ac:dyDescent="0.25">
      <c r="A14" s="1"/>
      <c r="B14" s="19" t="s">
        <v>22</v>
      </c>
      <c r="C14" s="20">
        <f>H13</f>
        <v>48176500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4" t="s">
        <v>29</v>
      </c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>
        <v>8534200</v>
      </c>
      <c r="D19" s="10">
        <v>3649000</v>
      </c>
      <c r="E19" s="11">
        <v>4885200</v>
      </c>
      <c r="F19" s="13">
        <f t="shared" ref="F19:F27" si="5">(D19/C19)*100%</f>
        <v>0.42757376203979286</v>
      </c>
      <c r="G19" s="13">
        <f t="shared" ref="G19:G27" si="6">(E19/C19)*100%</f>
        <v>0.5724262379602072</v>
      </c>
      <c r="H19" s="10">
        <v>1268000</v>
      </c>
      <c r="I19" s="3"/>
      <c r="J19" s="3"/>
    </row>
    <row r="20" spans="1:26" ht="15" x14ac:dyDescent="0.25">
      <c r="A20" s="8">
        <v>2</v>
      </c>
      <c r="B20" s="9" t="s">
        <v>12</v>
      </c>
      <c r="C20" s="10">
        <v>6324000</v>
      </c>
      <c r="D20" s="10">
        <v>3112000</v>
      </c>
      <c r="E20" s="11">
        <v>3212000</v>
      </c>
      <c r="F20" s="13">
        <f t="shared" si="5"/>
        <v>0.49209361163820364</v>
      </c>
      <c r="G20" s="13">
        <f t="shared" si="6"/>
        <v>0.50790638836179636</v>
      </c>
      <c r="H20" s="10"/>
      <c r="I20" s="3"/>
      <c r="J20" s="3"/>
    </row>
    <row r="21" spans="1:26" ht="15" x14ac:dyDescent="0.25">
      <c r="A21" s="8">
        <v>3</v>
      </c>
      <c r="B21" s="9" t="s">
        <v>13</v>
      </c>
      <c r="C21" s="10">
        <v>6258000</v>
      </c>
      <c r="D21" s="10">
        <v>5391000</v>
      </c>
      <c r="E21" s="11">
        <v>5391000</v>
      </c>
      <c r="F21" s="13">
        <f t="shared" si="5"/>
        <v>0.86145733461169705</v>
      </c>
      <c r="G21" s="13">
        <f t="shared" si="6"/>
        <v>0.86145733461169705</v>
      </c>
      <c r="H21" s="10">
        <v>111000</v>
      </c>
      <c r="I21" s="3"/>
      <c r="J21" s="3"/>
    </row>
    <row r="22" spans="1:26" ht="15" x14ac:dyDescent="0.25">
      <c r="A22" s="8">
        <v>4</v>
      </c>
      <c r="B22" s="9" t="s">
        <v>14</v>
      </c>
      <c r="C22" s="10">
        <v>1423300</v>
      </c>
      <c r="D22" s="10">
        <v>276000</v>
      </c>
      <c r="E22" s="11">
        <v>1147300</v>
      </c>
      <c r="F22" s="13">
        <f t="shared" si="5"/>
        <v>0.1939155483734982</v>
      </c>
      <c r="G22" s="13">
        <f t="shared" si="6"/>
        <v>0.80608445162650177</v>
      </c>
      <c r="H22" s="10">
        <v>1128000</v>
      </c>
      <c r="I22" s="3"/>
      <c r="J22" s="3"/>
    </row>
    <row r="23" spans="1:26" ht="15" x14ac:dyDescent="0.25">
      <c r="A23" s="8">
        <v>5</v>
      </c>
      <c r="B23" s="9" t="s">
        <v>15</v>
      </c>
      <c r="C23" s="10">
        <v>1176400</v>
      </c>
      <c r="D23" s="10">
        <v>1057000</v>
      </c>
      <c r="E23" s="11">
        <v>119400</v>
      </c>
      <c r="F23" s="13">
        <f t="shared" si="5"/>
        <v>0.89850391023461407</v>
      </c>
      <c r="G23" s="13">
        <f t="shared" si="6"/>
        <v>0.10149608976538592</v>
      </c>
      <c r="H23" s="10">
        <v>115000</v>
      </c>
      <c r="I23" s="3"/>
      <c r="J23" s="3"/>
    </row>
    <row r="24" spans="1:26" ht="15" x14ac:dyDescent="0.25">
      <c r="A24" s="8">
        <v>6</v>
      </c>
      <c r="B24" s="9" t="s">
        <v>16</v>
      </c>
      <c r="C24" s="10">
        <v>0</v>
      </c>
      <c r="D24" s="10">
        <v>0</v>
      </c>
      <c r="E24" s="11">
        <v>0</v>
      </c>
      <c r="F24" s="13" t="e">
        <f t="shared" si="5"/>
        <v>#DIV/0!</v>
      </c>
      <c r="G24" s="13" t="e">
        <f t="shared" si="6"/>
        <v>#DIV/0!</v>
      </c>
      <c r="H24" s="10"/>
      <c r="I24" s="3"/>
      <c r="J24" s="3"/>
    </row>
    <row r="25" spans="1:26" ht="15" x14ac:dyDescent="0.25">
      <c r="A25" s="8">
        <v>7</v>
      </c>
      <c r="B25" s="9" t="s">
        <v>17</v>
      </c>
      <c r="C25" s="14">
        <v>4631000</v>
      </c>
      <c r="D25" s="10">
        <v>2935000</v>
      </c>
      <c r="E25" s="11">
        <v>1696000</v>
      </c>
      <c r="F25" s="13">
        <f t="shared" si="5"/>
        <v>0.63377240336860285</v>
      </c>
      <c r="G25" s="13">
        <f t="shared" si="6"/>
        <v>0.36622759663139709</v>
      </c>
      <c r="H25" s="10">
        <v>675000</v>
      </c>
      <c r="I25" s="3"/>
      <c r="J25" s="3"/>
    </row>
    <row r="26" spans="1:26" ht="15" x14ac:dyDescent="0.25">
      <c r="A26" s="8">
        <v>8</v>
      </c>
      <c r="B26" s="9" t="s">
        <v>18</v>
      </c>
      <c r="C26" s="15">
        <v>9652000</v>
      </c>
      <c r="D26" s="15">
        <v>4640000</v>
      </c>
      <c r="E26" s="11">
        <v>5012000</v>
      </c>
      <c r="F26" s="13">
        <f t="shared" si="5"/>
        <v>0.48072938251139657</v>
      </c>
      <c r="G26" s="13">
        <f t="shared" si="6"/>
        <v>0.51927061748860337</v>
      </c>
      <c r="H26" s="10">
        <v>800000</v>
      </c>
      <c r="I26" s="3"/>
      <c r="J26" s="3"/>
    </row>
    <row r="27" spans="1:26" ht="15" x14ac:dyDescent="0.25">
      <c r="A27" s="8">
        <v>9</v>
      </c>
      <c r="B27" s="9" t="s">
        <v>19</v>
      </c>
      <c r="C27" s="14">
        <v>3733000</v>
      </c>
      <c r="D27" s="10">
        <v>1997000</v>
      </c>
      <c r="E27" s="11">
        <v>1736000</v>
      </c>
      <c r="F27" s="13">
        <f t="shared" si="5"/>
        <v>0.53495847843557465</v>
      </c>
      <c r="G27" s="13">
        <f t="shared" si="6"/>
        <v>0.46504152156442541</v>
      </c>
      <c r="H27" s="10">
        <v>0</v>
      </c>
      <c r="I27" s="3"/>
      <c r="J27" s="3"/>
    </row>
    <row r="28" spans="1:26" ht="15" x14ac:dyDescent="0.25">
      <c r="A28" s="8">
        <v>10</v>
      </c>
      <c r="B28" s="9" t="s">
        <v>20</v>
      </c>
      <c r="C28" s="10">
        <v>0</v>
      </c>
      <c r="D28" s="10">
        <v>0</v>
      </c>
      <c r="E28" s="11">
        <v>0</v>
      </c>
      <c r="F28" s="8">
        <v>0</v>
      </c>
      <c r="G28" s="13">
        <v>0</v>
      </c>
      <c r="H28" s="10">
        <v>0</v>
      </c>
      <c r="I28" s="3"/>
      <c r="J28" s="3"/>
    </row>
    <row r="29" spans="1:26" ht="15" x14ac:dyDescent="0.25">
      <c r="A29" s="9"/>
      <c r="B29" s="16" t="s">
        <v>21</v>
      </c>
      <c r="C29" s="17">
        <f t="shared" ref="C29:E29" si="7">SUM(C19:C28)</f>
        <v>41731900</v>
      </c>
      <c r="D29" s="17">
        <f t="shared" si="7"/>
        <v>23057000</v>
      </c>
      <c r="E29" s="17">
        <f t="shared" si="7"/>
        <v>23198900</v>
      </c>
      <c r="F29" s="23">
        <v>0.25</v>
      </c>
      <c r="G29" s="23">
        <v>0.75</v>
      </c>
      <c r="H29" s="17">
        <f>SUM(H19:H28)</f>
        <v>4097000</v>
      </c>
      <c r="I29" s="3"/>
      <c r="J29" s="3"/>
    </row>
    <row r="30" spans="1:26" ht="15" x14ac:dyDescent="0.25">
      <c r="A30" s="3"/>
      <c r="B30" s="19" t="s">
        <v>30</v>
      </c>
      <c r="C30" s="20">
        <f>E29</f>
        <v>23198900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128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>
        <v>1618</v>
      </c>
      <c r="D35" s="8">
        <v>71</v>
      </c>
      <c r="E35" s="8">
        <v>1495</v>
      </c>
      <c r="F35" s="8">
        <f t="shared" ref="F35:F44" si="8">C35-D35-E35</f>
        <v>52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>
        <v>1043</v>
      </c>
      <c r="D36" s="8">
        <v>52</v>
      </c>
      <c r="E36" s="8">
        <v>965</v>
      </c>
      <c r="F36" s="8">
        <f t="shared" si="8"/>
        <v>26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>
        <v>1375</v>
      </c>
      <c r="D37" s="8">
        <v>29</v>
      </c>
      <c r="E37" s="8">
        <v>1302</v>
      </c>
      <c r="F37" s="8">
        <f t="shared" si="8"/>
        <v>44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>
        <v>770</v>
      </c>
      <c r="D38" s="8">
        <v>26</v>
      </c>
      <c r="E38" s="8">
        <v>732</v>
      </c>
      <c r="F38" s="8">
        <f t="shared" si="8"/>
        <v>12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>
        <v>142</v>
      </c>
      <c r="D39" s="8">
        <v>6</v>
      </c>
      <c r="E39" s="8">
        <v>128</v>
      </c>
      <c r="F39" s="8">
        <f t="shared" si="8"/>
        <v>8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>
        <v>43</v>
      </c>
      <c r="D40" s="8">
        <v>3</v>
      </c>
      <c r="E40" s="8">
        <v>40</v>
      </c>
      <c r="F40" s="8">
        <f t="shared" si="8"/>
        <v>0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>
        <v>539</v>
      </c>
      <c r="D41" s="8">
        <v>16</v>
      </c>
      <c r="E41" s="8">
        <v>492</v>
      </c>
      <c r="F41" s="8">
        <f t="shared" si="8"/>
        <v>31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>
        <v>784</v>
      </c>
      <c r="D42" s="8">
        <v>8</v>
      </c>
      <c r="E42" s="8">
        <v>718</v>
      </c>
      <c r="F42" s="8">
        <f t="shared" si="8"/>
        <v>58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>
        <v>272</v>
      </c>
      <c r="D43" s="8">
        <v>3</v>
      </c>
      <c r="E43" s="8">
        <v>241</v>
      </c>
      <c r="F43" s="8">
        <f t="shared" si="8"/>
        <v>28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>
        <v>486</v>
      </c>
      <c r="D44" s="8">
        <v>0</v>
      </c>
      <c r="E44" s="8">
        <v>309</v>
      </c>
      <c r="F44" s="8">
        <f t="shared" si="8"/>
        <v>177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9">SUM(C35:C44)</f>
        <v>7072</v>
      </c>
      <c r="D45" s="25">
        <f t="shared" si="9"/>
        <v>214</v>
      </c>
      <c r="E45" s="25">
        <f t="shared" si="9"/>
        <v>6422</v>
      </c>
      <c r="F45" s="25">
        <f t="shared" si="9"/>
        <v>436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136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37</v>
      </c>
      <c r="G49" s="4" t="s">
        <v>38</v>
      </c>
      <c r="H49" s="4" t="s">
        <v>138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8" si="10">F3</f>
        <v>194755300</v>
      </c>
      <c r="D50" s="10">
        <f t="shared" ref="D50:D58" si="11">D19</f>
        <v>3649000</v>
      </c>
      <c r="E50" s="10">
        <v>4812700</v>
      </c>
      <c r="F50" s="10">
        <v>4054500</v>
      </c>
      <c r="G50" s="10">
        <v>100000</v>
      </c>
      <c r="H50" s="10">
        <f t="shared" ref="H50:H59" si="12">SUM(C50:G50)</f>
        <v>207371500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0"/>
        <v>114206000</v>
      </c>
      <c r="D51" s="10">
        <f t="shared" si="11"/>
        <v>3112000</v>
      </c>
      <c r="E51" s="10">
        <v>6861000</v>
      </c>
      <c r="F51" s="10">
        <v>634000</v>
      </c>
      <c r="G51" s="10"/>
      <c r="H51" s="10">
        <f t="shared" si="12"/>
        <v>124813000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0"/>
        <v>177601000</v>
      </c>
      <c r="D52" s="10">
        <f t="shared" si="11"/>
        <v>5391000</v>
      </c>
      <c r="E52" s="10">
        <v>2231000</v>
      </c>
      <c r="F52" s="10">
        <v>4118000</v>
      </c>
      <c r="G52" s="10">
        <v>20000</v>
      </c>
      <c r="H52" s="10">
        <f t="shared" si="12"/>
        <v>189361000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0"/>
        <v>104943700</v>
      </c>
      <c r="D53" s="10">
        <f t="shared" si="11"/>
        <v>276000</v>
      </c>
      <c r="E53" s="10">
        <v>4419300</v>
      </c>
      <c r="F53" s="10">
        <v>4065000</v>
      </c>
      <c r="G53" s="10"/>
      <c r="H53" s="10">
        <f t="shared" si="12"/>
        <v>113704000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0"/>
        <v>15424000</v>
      </c>
      <c r="D54" s="10">
        <f t="shared" si="11"/>
        <v>1057000</v>
      </c>
      <c r="E54" s="10">
        <v>533000</v>
      </c>
      <c r="F54" s="10">
        <v>261000</v>
      </c>
      <c r="G54" s="10"/>
      <c r="H54" s="10">
        <f t="shared" si="12"/>
        <v>17275000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0"/>
        <v>5291000</v>
      </c>
      <c r="D55" s="10">
        <f t="shared" si="11"/>
        <v>0</v>
      </c>
      <c r="E55" s="10">
        <v>438000</v>
      </c>
      <c r="F55" s="10">
        <v>807000</v>
      </c>
      <c r="G55" s="10"/>
      <c r="H55" s="10">
        <f t="shared" si="12"/>
        <v>6536000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0"/>
        <v>61408000</v>
      </c>
      <c r="D56" s="10">
        <f t="shared" si="11"/>
        <v>2935000</v>
      </c>
      <c r="E56" s="10">
        <v>1358000</v>
      </c>
      <c r="F56" s="10">
        <v>575000</v>
      </c>
      <c r="G56" s="10">
        <v>100000</v>
      </c>
      <c r="H56" s="10">
        <f t="shared" si="12"/>
        <v>66376000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0"/>
        <v>81720000</v>
      </c>
      <c r="D57" s="10">
        <f t="shared" si="11"/>
        <v>4640000</v>
      </c>
      <c r="E57" s="10">
        <v>1065000</v>
      </c>
      <c r="F57" s="10">
        <v>1704000</v>
      </c>
      <c r="G57" s="10"/>
      <c r="H57" s="10">
        <f t="shared" si="12"/>
        <v>89129000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0"/>
        <v>33475000</v>
      </c>
      <c r="D58" s="10">
        <f t="shared" si="11"/>
        <v>1997000</v>
      </c>
      <c r="E58" s="10"/>
      <c r="F58" s="10">
        <v>1997000</v>
      </c>
      <c r="G58" s="10"/>
      <c r="H58" s="10">
        <f t="shared" si="12"/>
        <v>37469000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v>31832000</v>
      </c>
      <c r="D59" s="10">
        <v>0</v>
      </c>
      <c r="E59" s="10">
        <v>330000</v>
      </c>
      <c r="F59" s="10">
        <v>2354500</v>
      </c>
      <c r="G59" s="10"/>
      <c r="H59" s="10">
        <f t="shared" si="12"/>
        <v>34516500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3">SUM(C50:C59)</f>
        <v>820656000</v>
      </c>
      <c r="D60" s="17">
        <f t="shared" si="13"/>
        <v>23057000</v>
      </c>
      <c r="E60" s="17">
        <f t="shared" si="13"/>
        <v>22048000</v>
      </c>
      <c r="F60" s="17">
        <f t="shared" si="13"/>
        <v>20570000</v>
      </c>
      <c r="G60" s="17">
        <f t="shared" si="13"/>
        <v>220000</v>
      </c>
      <c r="H60" s="17">
        <f t="shared" si="13"/>
        <v>886551000</v>
      </c>
      <c r="I60" s="3"/>
      <c r="J60" s="3"/>
    </row>
    <row r="61" spans="1:26" ht="15" x14ac:dyDescent="0.25">
      <c r="A61" s="1"/>
      <c r="B61" s="16" t="s">
        <v>21</v>
      </c>
      <c r="C61" s="17">
        <f>F60</f>
        <v>20570000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124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125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126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>
        <v>211029900</v>
      </c>
      <c r="D3" s="10">
        <v>8423000</v>
      </c>
      <c r="E3" s="10">
        <v>173000</v>
      </c>
      <c r="F3" s="10">
        <v>196029300</v>
      </c>
      <c r="G3" s="11">
        <f t="shared" ref="G3:G12" si="0">D3+E3+F3</f>
        <v>204625300</v>
      </c>
      <c r="H3" s="12">
        <f t="shared" ref="H3:H12" si="1">C3-G3</f>
        <v>6404600</v>
      </c>
      <c r="I3" s="13">
        <f t="shared" ref="I3:I13" si="2">(G3/C3)*100%</f>
        <v>0.96965074617388347</v>
      </c>
      <c r="J3" s="13">
        <f t="shared" ref="J3:J13" si="3">(H3/C3)*100%</f>
        <v>3.0349253826116585E-2</v>
      </c>
    </row>
    <row r="4" spans="1:26" ht="15.75" customHeight="1" x14ac:dyDescent="0.25">
      <c r="A4" s="8">
        <v>2</v>
      </c>
      <c r="B4" s="9" t="s">
        <v>12</v>
      </c>
      <c r="C4" s="10">
        <v>121266000</v>
      </c>
      <c r="D4" s="10">
        <v>5521000</v>
      </c>
      <c r="E4" s="10">
        <v>0</v>
      </c>
      <c r="F4" s="10">
        <v>112448000</v>
      </c>
      <c r="G4" s="11">
        <f t="shared" si="0"/>
        <v>117969000</v>
      </c>
      <c r="H4" s="12">
        <f t="shared" si="1"/>
        <v>3297000</v>
      </c>
      <c r="I4" s="13">
        <f t="shared" si="2"/>
        <v>0.9728118351392806</v>
      </c>
      <c r="J4" s="13">
        <f t="shared" si="3"/>
        <v>2.718816486071941E-2</v>
      </c>
    </row>
    <row r="5" spans="1:26" ht="15.75" customHeight="1" x14ac:dyDescent="0.25">
      <c r="A5" s="8">
        <v>3</v>
      </c>
      <c r="B5" s="9" t="s">
        <v>13</v>
      </c>
      <c r="C5" s="10">
        <v>184344000</v>
      </c>
      <c r="D5" s="10">
        <v>3636000</v>
      </c>
      <c r="E5" s="10">
        <v>28000</v>
      </c>
      <c r="F5" s="10">
        <v>175381000</v>
      </c>
      <c r="G5" s="11">
        <f t="shared" si="0"/>
        <v>179045000</v>
      </c>
      <c r="H5" s="12">
        <f t="shared" si="1"/>
        <v>5299000</v>
      </c>
      <c r="I5" s="13">
        <f t="shared" si="2"/>
        <v>0.97125482793039097</v>
      </c>
      <c r="J5" s="13">
        <f t="shared" si="3"/>
        <v>2.8745172069608992E-2</v>
      </c>
    </row>
    <row r="6" spans="1:26" ht="15.75" customHeight="1" x14ac:dyDescent="0.25">
      <c r="A6" s="8">
        <v>4</v>
      </c>
      <c r="B6" s="9" t="s">
        <v>14</v>
      </c>
      <c r="C6" s="10">
        <v>108621800</v>
      </c>
      <c r="D6" s="10">
        <v>2645000</v>
      </c>
      <c r="E6" s="10">
        <v>25000</v>
      </c>
      <c r="F6" s="10">
        <v>104131200</v>
      </c>
      <c r="G6" s="11">
        <f t="shared" si="0"/>
        <v>106801200</v>
      </c>
      <c r="H6" s="12">
        <f t="shared" si="1"/>
        <v>1820600</v>
      </c>
      <c r="I6" s="13">
        <f t="shared" si="2"/>
        <v>0.98323909196864723</v>
      </c>
      <c r="J6" s="13">
        <f t="shared" si="3"/>
        <v>1.6760908031352821E-2</v>
      </c>
    </row>
    <row r="7" spans="1:26" ht="15.75" customHeight="1" x14ac:dyDescent="0.25">
      <c r="A7" s="8">
        <v>5</v>
      </c>
      <c r="B7" s="9" t="s">
        <v>15</v>
      </c>
      <c r="C7" s="10">
        <v>16662200</v>
      </c>
      <c r="D7" s="10">
        <v>561000</v>
      </c>
      <c r="E7" s="10">
        <v>0</v>
      </c>
      <c r="F7" s="10">
        <v>15070000</v>
      </c>
      <c r="G7" s="11">
        <f t="shared" si="0"/>
        <v>15631000</v>
      </c>
      <c r="H7" s="12">
        <f t="shared" si="1"/>
        <v>1031200</v>
      </c>
      <c r="I7" s="13">
        <f t="shared" si="2"/>
        <v>0.93811141385891417</v>
      </c>
      <c r="J7" s="13">
        <f t="shared" si="3"/>
        <v>6.1888586141085812E-2</v>
      </c>
    </row>
    <row r="8" spans="1:26" ht="15.75" customHeight="1" x14ac:dyDescent="0.25">
      <c r="A8" s="8">
        <v>6</v>
      </c>
      <c r="B8" s="9" t="s">
        <v>16</v>
      </c>
      <c r="C8" s="10">
        <v>5606000</v>
      </c>
      <c r="D8" s="10">
        <v>288000</v>
      </c>
      <c r="E8" s="10">
        <v>0</v>
      </c>
      <c r="F8" s="10">
        <v>5180000</v>
      </c>
      <c r="G8" s="11">
        <f t="shared" si="0"/>
        <v>5468000</v>
      </c>
      <c r="H8" s="12">
        <f t="shared" si="1"/>
        <v>138000</v>
      </c>
      <c r="I8" s="13">
        <f t="shared" si="2"/>
        <v>0.97538351765965037</v>
      </c>
      <c r="J8" s="13">
        <f t="shared" si="3"/>
        <v>2.4616482340349626E-2</v>
      </c>
    </row>
    <row r="9" spans="1:26" ht="15.75" customHeight="1" x14ac:dyDescent="0.25">
      <c r="A9" s="8">
        <v>7</v>
      </c>
      <c r="B9" s="9" t="s">
        <v>17</v>
      </c>
      <c r="C9" s="10">
        <v>66642000</v>
      </c>
      <c r="D9" s="10">
        <v>2159000</v>
      </c>
      <c r="E9" s="10">
        <v>30000</v>
      </c>
      <c r="F9" s="10">
        <v>60290000</v>
      </c>
      <c r="G9" s="11">
        <f t="shared" si="0"/>
        <v>62479000</v>
      </c>
      <c r="H9" s="12">
        <f t="shared" si="1"/>
        <v>4163000</v>
      </c>
      <c r="I9" s="13">
        <f t="shared" si="2"/>
        <v>0.93753188679811528</v>
      </c>
      <c r="J9" s="13">
        <f t="shared" si="3"/>
        <v>6.2468113201884695E-2</v>
      </c>
    </row>
    <row r="10" spans="1:26" ht="15.75" customHeight="1" x14ac:dyDescent="0.25">
      <c r="A10" s="8">
        <v>8</v>
      </c>
      <c r="B10" s="9" t="s">
        <v>18</v>
      </c>
      <c r="C10" s="15">
        <v>90895000</v>
      </c>
      <c r="D10" s="15">
        <v>680000</v>
      </c>
      <c r="E10" s="10">
        <v>0</v>
      </c>
      <c r="F10" s="15">
        <v>83945000</v>
      </c>
      <c r="G10" s="11">
        <f t="shared" si="0"/>
        <v>84625000</v>
      </c>
      <c r="H10" s="12">
        <f t="shared" si="1"/>
        <v>6270000</v>
      </c>
      <c r="I10" s="13">
        <f t="shared" si="2"/>
        <v>0.93101930799273891</v>
      </c>
      <c r="J10" s="13">
        <f t="shared" si="3"/>
        <v>6.8980692007261132E-2</v>
      </c>
    </row>
    <row r="11" spans="1:26" ht="15.75" customHeight="1" x14ac:dyDescent="0.25">
      <c r="A11" s="8">
        <v>9</v>
      </c>
      <c r="B11" s="9" t="s">
        <v>19</v>
      </c>
      <c r="C11" s="14">
        <v>35377000</v>
      </c>
      <c r="D11" s="14">
        <v>365000</v>
      </c>
      <c r="E11" s="10">
        <v>0</v>
      </c>
      <c r="F11" s="14">
        <v>32209000</v>
      </c>
      <c r="G11" s="11">
        <f t="shared" si="0"/>
        <v>32574000</v>
      </c>
      <c r="H11" s="12">
        <f t="shared" si="1"/>
        <v>2803000</v>
      </c>
      <c r="I11" s="13">
        <f t="shared" si="2"/>
        <v>0.9207677304463352</v>
      </c>
      <c r="J11" s="13">
        <f t="shared" si="3"/>
        <v>7.9232269553664816E-2</v>
      </c>
    </row>
    <row r="12" spans="1:26" ht="15.75" customHeight="1" x14ac:dyDescent="0.25">
      <c r="A12" s="8">
        <v>10</v>
      </c>
      <c r="B12" s="9" t="s">
        <v>20</v>
      </c>
      <c r="C12" s="10">
        <v>41428000</v>
      </c>
      <c r="D12" s="10">
        <v>110000</v>
      </c>
      <c r="E12" s="10">
        <v>0</v>
      </c>
      <c r="F12" s="10">
        <v>36432000</v>
      </c>
      <c r="G12" s="11">
        <f t="shared" si="0"/>
        <v>36542000</v>
      </c>
      <c r="H12" s="12">
        <f t="shared" si="1"/>
        <v>4886000</v>
      </c>
      <c r="I12" s="13">
        <f t="shared" si="2"/>
        <v>0.88206044221299607</v>
      </c>
      <c r="J12" s="13">
        <f t="shared" si="3"/>
        <v>0.11793955778700396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881871900</v>
      </c>
      <c r="D13" s="17">
        <f t="shared" si="4"/>
        <v>24388000</v>
      </c>
      <c r="E13" s="17">
        <f t="shared" si="4"/>
        <v>256000</v>
      </c>
      <c r="F13" s="17">
        <f t="shared" si="4"/>
        <v>821115500</v>
      </c>
      <c r="G13" s="17">
        <f t="shared" si="4"/>
        <v>845759500</v>
      </c>
      <c r="H13" s="17">
        <f t="shared" si="4"/>
        <v>36112400</v>
      </c>
      <c r="I13" s="18">
        <f t="shared" si="2"/>
        <v>0.95905028836954664</v>
      </c>
      <c r="J13" s="18">
        <f t="shared" si="3"/>
        <v>4.0949711630453356E-2</v>
      </c>
    </row>
    <row r="14" spans="1:26" ht="15.75" customHeight="1" x14ac:dyDescent="0.25">
      <c r="A14" s="1"/>
      <c r="B14" s="19" t="s">
        <v>127</v>
      </c>
      <c r="C14" s="20">
        <f>H13</f>
        <v>36112400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4" t="s">
        <v>29</v>
      </c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>
        <v>12117000</v>
      </c>
      <c r="D19" s="10">
        <v>7845000</v>
      </c>
      <c r="E19" s="11">
        <f t="shared" ref="E19:E28" si="5">C19-D19</f>
        <v>4272000</v>
      </c>
      <c r="F19" s="13">
        <f t="shared" ref="F19:F28" si="6">(D19/C19)*100%</f>
        <v>0.64743748452587269</v>
      </c>
      <c r="G19" s="13">
        <f t="shared" ref="G19:G28" si="7">(E19/C19)*100%</f>
        <v>0.35256251547412726</v>
      </c>
      <c r="H19" s="10">
        <v>2288000</v>
      </c>
      <c r="I19" s="3"/>
      <c r="J19" s="3"/>
    </row>
    <row r="20" spans="1:26" ht="15" x14ac:dyDescent="0.25">
      <c r="A20" s="8">
        <v>2</v>
      </c>
      <c r="B20" s="9" t="s">
        <v>12</v>
      </c>
      <c r="C20" s="10">
        <v>5248000</v>
      </c>
      <c r="D20" s="10">
        <v>2431000</v>
      </c>
      <c r="E20" s="11">
        <f t="shared" si="5"/>
        <v>2817000</v>
      </c>
      <c r="F20" s="13">
        <f t="shared" si="6"/>
        <v>0.46322408536585363</v>
      </c>
      <c r="G20" s="13">
        <f t="shared" si="7"/>
        <v>0.53677591463414631</v>
      </c>
      <c r="H20" s="10">
        <v>110000</v>
      </c>
      <c r="I20" s="3"/>
      <c r="J20" s="3"/>
    </row>
    <row r="21" spans="1:26" ht="15" x14ac:dyDescent="0.25">
      <c r="A21" s="8">
        <v>3</v>
      </c>
      <c r="B21" s="9" t="s">
        <v>13</v>
      </c>
      <c r="C21" s="10">
        <v>8702000</v>
      </c>
      <c r="D21" s="10">
        <v>7294000</v>
      </c>
      <c r="E21" s="11">
        <f t="shared" si="5"/>
        <v>1408000</v>
      </c>
      <c r="F21" s="13">
        <f t="shared" si="6"/>
        <v>0.83819811537577571</v>
      </c>
      <c r="G21" s="13">
        <f t="shared" si="7"/>
        <v>0.16180188462422432</v>
      </c>
      <c r="H21" s="10">
        <v>889000</v>
      </c>
      <c r="I21" s="3"/>
      <c r="J21" s="3"/>
    </row>
    <row r="22" spans="1:26" ht="15" x14ac:dyDescent="0.25">
      <c r="A22" s="8">
        <v>4</v>
      </c>
      <c r="B22" s="9" t="s">
        <v>14</v>
      </c>
      <c r="C22" s="10">
        <v>4229000</v>
      </c>
      <c r="D22" s="10">
        <v>3330800</v>
      </c>
      <c r="E22" s="11">
        <f t="shared" si="5"/>
        <v>898200</v>
      </c>
      <c r="F22" s="13">
        <f t="shared" si="6"/>
        <v>0.78760936391581937</v>
      </c>
      <c r="G22" s="13">
        <f t="shared" si="7"/>
        <v>0.21239063608418066</v>
      </c>
      <c r="H22" s="10">
        <v>1928000</v>
      </c>
      <c r="I22" s="3"/>
      <c r="J22" s="3"/>
    </row>
    <row r="23" spans="1:26" ht="15" x14ac:dyDescent="0.25">
      <c r="A23" s="8">
        <v>5</v>
      </c>
      <c r="B23" s="9" t="s">
        <v>15</v>
      </c>
      <c r="C23" s="10">
        <v>1011200</v>
      </c>
      <c r="D23" s="10">
        <v>643000</v>
      </c>
      <c r="E23" s="11">
        <f t="shared" si="5"/>
        <v>368200</v>
      </c>
      <c r="F23" s="13">
        <f t="shared" si="6"/>
        <v>0.635878164556962</v>
      </c>
      <c r="G23" s="13">
        <f t="shared" si="7"/>
        <v>0.364121835443038</v>
      </c>
      <c r="H23" s="10">
        <v>223000</v>
      </c>
      <c r="I23" s="3"/>
      <c r="J23" s="3"/>
    </row>
    <row r="24" spans="1:26" ht="15" x14ac:dyDescent="0.25">
      <c r="A24" s="8">
        <v>6</v>
      </c>
      <c r="B24" s="9" t="s">
        <v>16</v>
      </c>
      <c r="C24" s="10">
        <v>563000</v>
      </c>
      <c r="D24" s="10">
        <v>425000</v>
      </c>
      <c r="E24" s="11">
        <f t="shared" si="5"/>
        <v>138000</v>
      </c>
      <c r="F24" s="13">
        <f t="shared" si="6"/>
        <v>0.75488454706927177</v>
      </c>
      <c r="G24" s="13">
        <f t="shared" si="7"/>
        <v>0.24511545293072823</v>
      </c>
      <c r="H24" s="10">
        <v>138000</v>
      </c>
      <c r="I24" s="3"/>
      <c r="J24" s="3"/>
    </row>
    <row r="25" spans="1:26" ht="15" x14ac:dyDescent="0.25">
      <c r="A25" s="8">
        <v>7</v>
      </c>
      <c r="B25" s="9" t="s">
        <v>17</v>
      </c>
      <c r="C25" s="14">
        <v>6241000</v>
      </c>
      <c r="D25" s="10">
        <v>4526000</v>
      </c>
      <c r="E25" s="11">
        <f t="shared" si="5"/>
        <v>1715000</v>
      </c>
      <c r="F25" s="13">
        <f t="shared" si="6"/>
        <v>0.72520429418362442</v>
      </c>
      <c r="G25" s="13">
        <f t="shared" si="7"/>
        <v>0.27479570581637558</v>
      </c>
      <c r="H25" s="10">
        <v>1125000</v>
      </c>
      <c r="I25" s="3"/>
      <c r="J25" s="3"/>
    </row>
    <row r="26" spans="1:26" ht="15" x14ac:dyDescent="0.25">
      <c r="A26" s="8">
        <v>8</v>
      </c>
      <c r="B26" s="9" t="s">
        <v>18</v>
      </c>
      <c r="C26" s="15">
        <v>11640000</v>
      </c>
      <c r="D26" s="15">
        <v>5430000</v>
      </c>
      <c r="E26" s="11">
        <f t="shared" si="5"/>
        <v>6210000</v>
      </c>
      <c r="F26" s="13">
        <f t="shared" si="6"/>
        <v>0.46649484536082475</v>
      </c>
      <c r="G26" s="13">
        <f t="shared" si="7"/>
        <v>0.53350515463917525</v>
      </c>
      <c r="H26" s="10">
        <v>1388000</v>
      </c>
      <c r="I26" s="3"/>
      <c r="J26" s="3"/>
    </row>
    <row r="27" spans="1:26" ht="15" x14ac:dyDescent="0.25">
      <c r="A27" s="8">
        <v>9</v>
      </c>
      <c r="B27" s="9" t="s">
        <v>19</v>
      </c>
      <c r="C27" s="14">
        <v>9330000</v>
      </c>
      <c r="D27" s="14">
        <v>8151000</v>
      </c>
      <c r="E27" s="11">
        <f t="shared" si="5"/>
        <v>1179000</v>
      </c>
      <c r="F27" s="13">
        <f t="shared" si="6"/>
        <v>0.87363344051446945</v>
      </c>
      <c r="G27" s="13">
        <f t="shared" si="7"/>
        <v>0.12636655948553055</v>
      </c>
      <c r="H27" s="10">
        <v>276000</v>
      </c>
      <c r="I27" s="3"/>
      <c r="J27" s="3"/>
    </row>
    <row r="28" spans="1:26" ht="15" x14ac:dyDescent="0.25">
      <c r="A28" s="8">
        <v>10</v>
      </c>
      <c r="B28" s="9" t="s">
        <v>20</v>
      </c>
      <c r="C28" s="10">
        <v>6272997</v>
      </c>
      <c r="D28" s="10">
        <v>0</v>
      </c>
      <c r="E28" s="11">
        <f t="shared" si="5"/>
        <v>6272997</v>
      </c>
      <c r="F28" s="13">
        <f t="shared" si="6"/>
        <v>0</v>
      </c>
      <c r="G28" s="13">
        <f t="shared" si="7"/>
        <v>1</v>
      </c>
      <c r="H28" s="10">
        <v>0</v>
      </c>
      <c r="I28" s="3"/>
      <c r="J28" s="3"/>
    </row>
    <row r="29" spans="1:26" ht="15" x14ac:dyDescent="0.25">
      <c r="A29" s="9"/>
      <c r="B29" s="16" t="s">
        <v>21</v>
      </c>
      <c r="C29" s="17">
        <f t="shared" ref="C29:E29" si="8">SUM(C19:C28)</f>
        <v>65354197</v>
      </c>
      <c r="D29" s="17">
        <f t="shared" si="8"/>
        <v>40075800</v>
      </c>
      <c r="E29" s="17">
        <f t="shared" si="8"/>
        <v>25278397</v>
      </c>
      <c r="F29" s="23">
        <v>0.25</v>
      </c>
      <c r="G29" s="23">
        <v>0.75</v>
      </c>
      <c r="H29" s="17">
        <f>SUM(H19:H28)</f>
        <v>8365000</v>
      </c>
      <c r="I29" s="3"/>
      <c r="J29" s="3"/>
    </row>
    <row r="30" spans="1:26" ht="15" x14ac:dyDescent="0.25">
      <c r="A30" s="3"/>
      <c r="B30" s="19" t="s">
        <v>30</v>
      </c>
      <c r="C30" s="20">
        <f>E29</f>
        <v>25278397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129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>
        <v>1608</v>
      </c>
      <c r="D35" s="8">
        <v>62</v>
      </c>
      <c r="E35" s="8">
        <v>1503</v>
      </c>
      <c r="F35" s="8">
        <f t="shared" ref="F35:F44" si="9">C35-D35-E35</f>
        <v>43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>
        <v>1022</v>
      </c>
      <c r="D36" s="8">
        <v>44</v>
      </c>
      <c r="E36" s="8">
        <v>949</v>
      </c>
      <c r="F36" s="8">
        <f t="shared" si="9"/>
        <v>29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>
        <v>1352</v>
      </c>
      <c r="D37" s="8">
        <v>25</v>
      </c>
      <c r="E37" s="8">
        <v>1286</v>
      </c>
      <c r="F37" s="8">
        <f t="shared" si="9"/>
        <v>41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>
        <v>762</v>
      </c>
      <c r="D38" s="8">
        <v>19</v>
      </c>
      <c r="E38" s="8">
        <v>730</v>
      </c>
      <c r="F38" s="8">
        <f t="shared" si="9"/>
        <v>13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>
        <v>141</v>
      </c>
      <c r="D39" s="8">
        <v>5</v>
      </c>
      <c r="E39" s="8">
        <v>126</v>
      </c>
      <c r="F39" s="8">
        <f t="shared" si="9"/>
        <v>10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>
        <v>43</v>
      </c>
      <c r="D40" s="8">
        <v>2</v>
      </c>
      <c r="E40" s="8">
        <v>39</v>
      </c>
      <c r="F40" s="8">
        <f t="shared" si="9"/>
        <v>2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>
        <v>529</v>
      </c>
      <c r="D41" s="8">
        <v>16</v>
      </c>
      <c r="E41" s="8">
        <v>481</v>
      </c>
      <c r="F41" s="8">
        <f t="shared" si="9"/>
        <v>32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>
        <v>798</v>
      </c>
      <c r="D42" s="8">
        <v>6</v>
      </c>
      <c r="E42" s="8">
        <v>737</v>
      </c>
      <c r="F42" s="8">
        <f t="shared" si="9"/>
        <v>55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>
        <v>254</v>
      </c>
      <c r="D43" s="8">
        <v>3</v>
      </c>
      <c r="E43" s="8">
        <v>230</v>
      </c>
      <c r="F43" s="8">
        <f t="shared" si="9"/>
        <v>21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>
        <v>388</v>
      </c>
      <c r="D44" s="8">
        <v>1</v>
      </c>
      <c r="E44" s="8">
        <v>316</v>
      </c>
      <c r="F44" s="8">
        <f t="shared" si="9"/>
        <v>71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10">SUM(C35:C44)</f>
        <v>6897</v>
      </c>
      <c r="D45" s="25">
        <f t="shared" si="10"/>
        <v>183</v>
      </c>
      <c r="E45" s="25">
        <f t="shared" si="10"/>
        <v>6397</v>
      </c>
      <c r="F45" s="25">
        <f t="shared" si="10"/>
        <v>317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133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37</v>
      </c>
      <c r="G49" s="4" t="s">
        <v>38</v>
      </c>
      <c r="H49" s="4" t="s">
        <v>134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1">F3</f>
        <v>196029300</v>
      </c>
      <c r="D50" s="10">
        <f t="shared" ref="D50:D59" si="12">D19</f>
        <v>7845000</v>
      </c>
      <c r="E50" s="10">
        <v>6772700</v>
      </c>
      <c r="F50" s="10">
        <v>4897000</v>
      </c>
      <c r="G50" s="10"/>
      <c r="H50" s="10">
        <f t="shared" ref="H50:H59" si="13">SUM(C50:G50)</f>
        <v>215544000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1"/>
        <v>112448000</v>
      </c>
      <c r="D51" s="10">
        <f t="shared" si="12"/>
        <v>2431000</v>
      </c>
      <c r="E51" s="10">
        <v>4503000</v>
      </c>
      <c r="F51" s="10">
        <v>2131000</v>
      </c>
      <c r="G51" s="10"/>
      <c r="H51" s="10">
        <f t="shared" si="13"/>
        <v>121513000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1"/>
        <v>175381000</v>
      </c>
      <c r="D52" s="10">
        <f t="shared" si="12"/>
        <v>7294000</v>
      </c>
      <c r="E52" s="10">
        <v>4970000</v>
      </c>
      <c r="F52" s="10">
        <v>3939000</v>
      </c>
      <c r="G52" s="10"/>
      <c r="H52" s="10">
        <f t="shared" si="13"/>
        <v>191584000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1"/>
        <v>104131200</v>
      </c>
      <c r="D53" s="10">
        <f t="shared" si="12"/>
        <v>3330800</v>
      </c>
      <c r="E53" s="10">
        <v>3469300</v>
      </c>
      <c r="F53" s="10">
        <v>4278000</v>
      </c>
      <c r="G53" s="10"/>
      <c r="H53" s="10">
        <f t="shared" si="13"/>
        <v>115209300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1"/>
        <v>15070000</v>
      </c>
      <c r="D54" s="10">
        <f t="shared" si="12"/>
        <v>643000</v>
      </c>
      <c r="E54" s="10">
        <v>643000</v>
      </c>
      <c r="F54" s="10">
        <v>297000</v>
      </c>
      <c r="G54" s="10"/>
      <c r="H54" s="10">
        <f t="shared" si="13"/>
        <v>16653000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1"/>
        <v>5180000</v>
      </c>
      <c r="D55" s="10">
        <f t="shared" si="12"/>
        <v>425000</v>
      </c>
      <c r="E55" s="10">
        <v>300000</v>
      </c>
      <c r="F55" s="10">
        <v>257000</v>
      </c>
      <c r="G55" s="10"/>
      <c r="H55" s="10">
        <f t="shared" si="13"/>
        <v>6162000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1"/>
        <v>60290000</v>
      </c>
      <c r="D56" s="10">
        <f t="shared" si="12"/>
        <v>4526000</v>
      </c>
      <c r="E56" s="10">
        <v>2006000</v>
      </c>
      <c r="F56" s="10">
        <v>1128000</v>
      </c>
      <c r="G56" s="10"/>
      <c r="H56" s="10">
        <f t="shared" si="13"/>
        <v>67950000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1"/>
        <v>83945000</v>
      </c>
      <c r="D57" s="10">
        <f t="shared" si="12"/>
        <v>5430000</v>
      </c>
      <c r="E57" s="10">
        <v>1012000</v>
      </c>
      <c r="F57" s="10">
        <v>1977000</v>
      </c>
      <c r="G57" s="10"/>
      <c r="H57" s="10">
        <f t="shared" si="13"/>
        <v>92364000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1"/>
        <v>32209000</v>
      </c>
      <c r="D58" s="10">
        <f t="shared" si="12"/>
        <v>8151000</v>
      </c>
      <c r="E58" s="10">
        <v>138000</v>
      </c>
      <c r="F58" s="10">
        <v>2782000</v>
      </c>
      <c r="G58" s="10"/>
      <c r="H58" s="10">
        <f t="shared" si="13"/>
        <v>43280000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1"/>
        <v>36432000</v>
      </c>
      <c r="D59" s="10">
        <f t="shared" si="12"/>
        <v>0</v>
      </c>
      <c r="E59" s="10">
        <v>0</v>
      </c>
      <c r="F59" s="10">
        <v>586000</v>
      </c>
      <c r="G59" s="10"/>
      <c r="H59" s="10">
        <f t="shared" si="13"/>
        <v>37018000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4">SUM(C50:C59)</f>
        <v>821115500</v>
      </c>
      <c r="D60" s="17">
        <f t="shared" si="14"/>
        <v>40075800</v>
      </c>
      <c r="E60" s="17">
        <f t="shared" si="14"/>
        <v>23814000</v>
      </c>
      <c r="F60" s="17">
        <f t="shared" si="14"/>
        <v>22272000</v>
      </c>
      <c r="G60" s="17">
        <f t="shared" si="14"/>
        <v>0</v>
      </c>
      <c r="H60" s="17">
        <f t="shared" si="14"/>
        <v>907277300</v>
      </c>
      <c r="I60" s="3"/>
      <c r="J60" s="3"/>
    </row>
    <row r="61" spans="1:26" ht="15" x14ac:dyDescent="0.25">
      <c r="A61" s="1"/>
      <c r="B61" s="16" t="s">
        <v>21</v>
      </c>
      <c r="C61" s="17">
        <f>F60</f>
        <v>22272000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130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131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132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>
        <v>210357500</v>
      </c>
      <c r="D3" s="10">
        <v>8133000</v>
      </c>
      <c r="E3" s="10">
        <v>193000</v>
      </c>
      <c r="F3" s="10">
        <v>192156300</v>
      </c>
      <c r="G3" s="11">
        <f t="shared" ref="G3:G12" si="0">D3+E3+F3</f>
        <v>200482300</v>
      </c>
      <c r="H3" s="12">
        <f t="shared" ref="H3:H12" si="1">C3-G3</f>
        <v>9875200</v>
      </c>
      <c r="I3" s="13">
        <f t="shared" ref="I3:I13" si="2">(G3/C3)*100%</f>
        <v>0.95305515610330038</v>
      </c>
      <c r="J3" s="13">
        <f t="shared" ref="J3:J13" si="3">(H3/C3)*100%</f>
        <v>4.6944843896699666E-2</v>
      </c>
    </row>
    <row r="4" spans="1:26" ht="15.75" customHeight="1" x14ac:dyDescent="0.25">
      <c r="A4" s="8">
        <v>2</v>
      </c>
      <c r="B4" s="9" t="s">
        <v>12</v>
      </c>
      <c r="C4" s="10">
        <v>121419000</v>
      </c>
      <c r="D4" s="10">
        <v>5087000</v>
      </c>
      <c r="E4" s="10">
        <v>10000</v>
      </c>
      <c r="F4" s="10">
        <v>113264000</v>
      </c>
      <c r="G4" s="11">
        <f t="shared" si="0"/>
        <v>118361000</v>
      </c>
      <c r="H4" s="12">
        <f t="shared" si="1"/>
        <v>3058000</v>
      </c>
      <c r="I4" s="13">
        <f t="shared" si="2"/>
        <v>0.97481448537708271</v>
      </c>
      <c r="J4" s="13">
        <f t="shared" si="3"/>
        <v>2.5185514622917335E-2</v>
      </c>
    </row>
    <row r="5" spans="1:26" ht="15.75" customHeight="1" x14ac:dyDescent="0.25">
      <c r="A5" s="8">
        <v>3</v>
      </c>
      <c r="B5" s="9" t="s">
        <v>13</v>
      </c>
      <c r="C5" s="10">
        <v>183620000</v>
      </c>
      <c r="D5" s="10">
        <v>3353000</v>
      </c>
      <c r="E5" s="10">
        <v>28000</v>
      </c>
      <c r="F5" s="10">
        <v>172501000</v>
      </c>
      <c r="G5" s="11">
        <f t="shared" si="0"/>
        <v>175882000</v>
      </c>
      <c r="H5" s="12">
        <f t="shared" si="1"/>
        <v>7738000</v>
      </c>
      <c r="I5" s="13">
        <f t="shared" si="2"/>
        <v>0.95785862106524344</v>
      </c>
      <c r="J5" s="13">
        <f t="shared" si="3"/>
        <v>4.2141378934756564E-2</v>
      </c>
    </row>
    <row r="6" spans="1:26" ht="15.75" customHeight="1" x14ac:dyDescent="0.25">
      <c r="A6" s="8">
        <v>4</v>
      </c>
      <c r="B6" s="9" t="s">
        <v>14</v>
      </c>
      <c r="C6" s="10">
        <v>107997600</v>
      </c>
      <c r="D6" s="10">
        <v>3366300</v>
      </c>
      <c r="E6" s="10">
        <v>25000</v>
      </c>
      <c r="F6" s="10">
        <v>100617100</v>
      </c>
      <c r="G6" s="11">
        <f t="shared" si="0"/>
        <v>104008400</v>
      </c>
      <c r="H6" s="12">
        <f t="shared" si="1"/>
        <v>3989200</v>
      </c>
      <c r="I6" s="13">
        <f t="shared" si="2"/>
        <v>0.96306214212167673</v>
      </c>
      <c r="J6" s="13">
        <f t="shared" si="3"/>
        <v>3.6937857878323224E-2</v>
      </c>
    </row>
    <row r="7" spans="1:26" ht="15.75" customHeight="1" x14ac:dyDescent="0.25">
      <c r="A7" s="8">
        <v>5</v>
      </c>
      <c r="B7" s="9" t="s">
        <v>15</v>
      </c>
      <c r="C7" s="10">
        <v>16622200</v>
      </c>
      <c r="D7" s="10">
        <v>428000</v>
      </c>
      <c r="E7" s="10">
        <v>0</v>
      </c>
      <c r="F7" s="10">
        <v>15580000</v>
      </c>
      <c r="G7" s="11">
        <f t="shared" si="0"/>
        <v>16008000</v>
      </c>
      <c r="H7" s="12">
        <f t="shared" si="1"/>
        <v>614200</v>
      </c>
      <c r="I7" s="13">
        <f t="shared" si="2"/>
        <v>0.96304941584146508</v>
      </c>
      <c r="J7" s="13">
        <f t="shared" si="3"/>
        <v>3.6950584158534971E-2</v>
      </c>
    </row>
    <row r="8" spans="1:26" ht="15.75" customHeight="1" x14ac:dyDescent="0.25">
      <c r="A8" s="8">
        <v>6</v>
      </c>
      <c r="B8" s="9" t="s">
        <v>16</v>
      </c>
      <c r="C8" s="10">
        <v>5547000</v>
      </c>
      <c r="D8" s="10">
        <v>0</v>
      </c>
      <c r="E8" s="10">
        <v>0</v>
      </c>
      <c r="F8" s="10">
        <v>5193000</v>
      </c>
      <c r="G8" s="11">
        <f t="shared" si="0"/>
        <v>5193000</v>
      </c>
      <c r="H8" s="12">
        <f t="shared" si="1"/>
        <v>354000</v>
      </c>
      <c r="I8" s="13">
        <f t="shared" si="2"/>
        <v>0.9361817198485668</v>
      </c>
      <c r="J8" s="13">
        <f t="shared" si="3"/>
        <v>6.3818280151433204E-2</v>
      </c>
    </row>
    <row r="9" spans="1:26" ht="15.75" customHeight="1" x14ac:dyDescent="0.25">
      <c r="A9" s="8">
        <v>7</v>
      </c>
      <c r="B9" s="9" t="s">
        <v>17</v>
      </c>
      <c r="C9" s="14">
        <v>65095000</v>
      </c>
      <c r="D9" s="10">
        <v>1556000</v>
      </c>
      <c r="E9" s="10">
        <v>30000</v>
      </c>
      <c r="F9" s="10">
        <v>59219000</v>
      </c>
      <c r="G9" s="11">
        <f t="shared" si="0"/>
        <v>60805000</v>
      </c>
      <c r="H9" s="12">
        <f t="shared" si="1"/>
        <v>4290000</v>
      </c>
      <c r="I9" s="13">
        <f t="shared" si="2"/>
        <v>0.93409632076196325</v>
      </c>
      <c r="J9" s="13">
        <f t="shared" si="3"/>
        <v>6.5903679238036722E-2</v>
      </c>
    </row>
    <row r="10" spans="1:26" ht="15.75" customHeight="1" x14ac:dyDescent="0.25">
      <c r="A10" s="8">
        <v>8</v>
      </c>
      <c r="B10" s="9" t="s">
        <v>18</v>
      </c>
      <c r="C10" s="15">
        <v>89465000</v>
      </c>
      <c r="D10" s="10">
        <v>570000</v>
      </c>
      <c r="E10" s="10">
        <v>0</v>
      </c>
      <c r="F10" s="15">
        <v>82350000</v>
      </c>
      <c r="G10" s="11">
        <f t="shared" si="0"/>
        <v>82920000</v>
      </c>
      <c r="H10" s="12">
        <f t="shared" si="1"/>
        <v>6545000</v>
      </c>
      <c r="I10" s="13">
        <f t="shared" si="2"/>
        <v>0.92684289945788856</v>
      </c>
      <c r="J10" s="13">
        <f t="shared" si="3"/>
        <v>7.3157100542111442E-2</v>
      </c>
    </row>
    <row r="11" spans="1:26" ht="15.75" customHeight="1" x14ac:dyDescent="0.25">
      <c r="A11" s="8">
        <v>9</v>
      </c>
      <c r="B11" s="9" t="s">
        <v>19</v>
      </c>
      <c r="C11" s="14">
        <v>34314000</v>
      </c>
      <c r="D11" s="10">
        <v>365000</v>
      </c>
      <c r="E11" s="10">
        <v>0</v>
      </c>
      <c r="F11" s="14">
        <v>26151000</v>
      </c>
      <c r="G11" s="11">
        <f t="shared" si="0"/>
        <v>26516000</v>
      </c>
      <c r="H11" s="12">
        <f t="shared" si="1"/>
        <v>7798000</v>
      </c>
      <c r="I11" s="13">
        <f t="shared" si="2"/>
        <v>0.77274581803345577</v>
      </c>
      <c r="J11" s="13">
        <f t="shared" si="3"/>
        <v>0.22725418196654426</v>
      </c>
    </row>
    <row r="12" spans="1:26" ht="15.75" customHeight="1" x14ac:dyDescent="0.25">
      <c r="A12" s="8">
        <v>10</v>
      </c>
      <c r="B12" s="9" t="s">
        <v>20</v>
      </c>
      <c r="C12" s="10">
        <v>39488000</v>
      </c>
      <c r="D12" s="10">
        <v>0</v>
      </c>
      <c r="E12" s="10">
        <v>0</v>
      </c>
      <c r="F12" s="10">
        <v>30202000</v>
      </c>
      <c r="G12" s="11">
        <f t="shared" si="0"/>
        <v>30202000</v>
      </c>
      <c r="H12" s="12">
        <f t="shared" si="1"/>
        <v>9286000</v>
      </c>
      <c r="I12" s="13">
        <f t="shared" si="2"/>
        <v>0.76483995137763372</v>
      </c>
      <c r="J12" s="13">
        <f t="shared" si="3"/>
        <v>0.23516004862236628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873925300</v>
      </c>
      <c r="D13" s="17">
        <f t="shared" si="4"/>
        <v>22858300</v>
      </c>
      <c r="E13" s="17">
        <f t="shared" si="4"/>
        <v>286000</v>
      </c>
      <c r="F13" s="17">
        <f t="shared" si="4"/>
        <v>797233400</v>
      </c>
      <c r="G13" s="17">
        <f t="shared" si="4"/>
        <v>820377700</v>
      </c>
      <c r="H13" s="17">
        <f t="shared" si="4"/>
        <v>53547600</v>
      </c>
      <c r="I13" s="18">
        <f t="shared" si="2"/>
        <v>0.93872748620505664</v>
      </c>
      <c r="J13" s="18">
        <f t="shared" si="3"/>
        <v>6.1272513794943341E-2</v>
      </c>
    </row>
    <row r="14" spans="1:26" ht="15.75" customHeight="1" x14ac:dyDescent="0.25">
      <c r="A14" s="1"/>
      <c r="B14" s="19" t="s">
        <v>140</v>
      </c>
      <c r="C14" s="20">
        <f>H13</f>
        <v>53547600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4" t="s">
        <v>29</v>
      </c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>
        <v>8775200</v>
      </c>
      <c r="D19" s="10">
        <v>5511000</v>
      </c>
      <c r="E19" s="11">
        <v>3264200</v>
      </c>
      <c r="F19" s="13">
        <f t="shared" ref="F19:F27" si="5">(D19/C19)*100%</f>
        <v>0.62801987419090166</v>
      </c>
      <c r="G19" s="13">
        <f t="shared" ref="G19:G27" si="6">(E19/C19)*100%</f>
        <v>0.37198012580909839</v>
      </c>
      <c r="H19" s="10">
        <v>1733000</v>
      </c>
      <c r="I19" s="3"/>
      <c r="J19" s="3"/>
    </row>
    <row r="20" spans="1:26" ht="15" x14ac:dyDescent="0.25">
      <c r="A20" s="8">
        <v>2</v>
      </c>
      <c r="B20" s="9" t="s">
        <v>12</v>
      </c>
      <c r="C20" s="10">
        <v>5514000</v>
      </c>
      <c r="D20" s="10">
        <v>3578000</v>
      </c>
      <c r="E20" s="11">
        <v>1936000</v>
      </c>
      <c r="F20" s="13">
        <f t="shared" si="5"/>
        <v>0.64889372506347476</v>
      </c>
      <c r="G20" s="13">
        <f t="shared" si="6"/>
        <v>0.35110627493652519</v>
      </c>
      <c r="H20" s="10"/>
      <c r="I20" s="3"/>
      <c r="J20" s="3"/>
    </row>
    <row r="21" spans="1:26" ht="15" x14ac:dyDescent="0.25">
      <c r="A21" s="8">
        <v>3</v>
      </c>
      <c r="B21" s="9" t="s">
        <v>13</v>
      </c>
      <c r="C21" s="10">
        <v>4768000</v>
      </c>
      <c r="D21" s="10">
        <v>3352000</v>
      </c>
      <c r="E21" s="11">
        <v>1416000</v>
      </c>
      <c r="F21" s="13">
        <f t="shared" si="5"/>
        <v>0.70302013422818788</v>
      </c>
      <c r="G21" s="13">
        <f t="shared" si="6"/>
        <v>0.29697986577181207</v>
      </c>
      <c r="H21" s="10">
        <v>378000</v>
      </c>
      <c r="I21" s="3"/>
      <c r="J21" s="3"/>
    </row>
    <row r="22" spans="1:26" ht="15" x14ac:dyDescent="0.25">
      <c r="A22" s="8">
        <v>4</v>
      </c>
      <c r="B22" s="9" t="s">
        <v>14</v>
      </c>
      <c r="C22" s="10">
        <v>3386500</v>
      </c>
      <c r="D22" s="10">
        <v>1278000</v>
      </c>
      <c r="E22" s="11">
        <v>2108500</v>
      </c>
      <c r="F22" s="13">
        <f t="shared" si="5"/>
        <v>0.37738077661302227</v>
      </c>
      <c r="G22" s="13">
        <f t="shared" si="6"/>
        <v>0.62261922338697773</v>
      </c>
      <c r="H22" s="10">
        <v>2092500</v>
      </c>
      <c r="I22" s="3"/>
      <c r="J22" s="3"/>
    </row>
    <row r="23" spans="1:26" ht="15" x14ac:dyDescent="0.25">
      <c r="A23" s="8">
        <v>5</v>
      </c>
      <c r="B23" s="9" t="s">
        <v>15</v>
      </c>
      <c r="C23" s="10">
        <v>1144000</v>
      </c>
      <c r="D23" s="10">
        <v>622000</v>
      </c>
      <c r="E23" s="11">
        <v>522000</v>
      </c>
      <c r="F23" s="13">
        <f t="shared" si="5"/>
        <v>0.54370629370629375</v>
      </c>
      <c r="G23" s="13">
        <f t="shared" si="6"/>
        <v>0.4562937062937063</v>
      </c>
      <c r="H23" s="10">
        <v>211000</v>
      </c>
      <c r="I23" s="3"/>
      <c r="J23" s="3"/>
    </row>
    <row r="24" spans="1:26" ht="15" x14ac:dyDescent="0.25">
      <c r="A24" s="8">
        <v>6</v>
      </c>
      <c r="B24" s="9" t="s">
        <v>16</v>
      </c>
      <c r="C24" s="10">
        <v>300000</v>
      </c>
      <c r="D24" s="10">
        <v>300000</v>
      </c>
      <c r="E24" s="11">
        <v>0</v>
      </c>
      <c r="F24" s="13">
        <f t="shared" si="5"/>
        <v>1</v>
      </c>
      <c r="G24" s="13">
        <f t="shared" si="6"/>
        <v>0</v>
      </c>
      <c r="H24" s="10"/>
      <c r="I24" s="3"/>
      <c r="J24" s="3"/>
    </row>
    <row r="25" spans="1:26" ht="15" x14ac:dyDescent="0.25">
      <c r="A25" s="8">
        <v>7</v>
      </c>
      <c r="B25" s="9" t="s">
        <v>17</v>
      </c>
      <c r="C25" s="14">
        <v>7633000</v>
      </c>
      <c r="D25" s="10">
        <v>3862000</v>
      </c>
      <c r="E25" s="11">
        <v>3771000</v>
      </c>
      <c r="F25" s="13">
        <f t="shared" si="5"/>
        <v>0.50596095899384252</v>
      </c>
      <c r="G25" s="13">
        <f t="shared" si="6"/>
        <v>0.49403904100615748</v>
      </c>
      <c r="H25" s="10">
        <v>1790000</v>
      </c>
      <c r="I25" s="3"/>
      <c r="J25" s="3"/>
    </row>
    <row r="26" spans="1:26" ht="15" x14ac:dyDescent="0.25">
      <c r="A26" s="8">
        <v>8</v>
      </c>
      <c r="B26" s="9" t="s">
        <v>18</v>
      </c>
      <c r="C26" s="15">
        <v>13853000</v>
      </c>
      <c r="D26" s="15">
        <v>6315000</v>
      </c>
      <c r="E26" s="11">
        <f>C26-D26</f>
        <v>7538000</v>
      </c>
      <c r="F26" s="13">
        <f t="shared" si="5"/>
        <v>0.45585793690897281</v>
      </c>
      <c r="G26" s="13">
        <f t="shared" si="6"/>
        <v>0.54414206309102719</v>
      </c>
      <c r="H26" s="10">
        <v>2013000</v>
      </c>
      <c r="I26" s="3"/>
      <c r="J26" s="3"/>
    </row>
    <row r="27" spans="1:26" ht="15" x14ac:dyDescent="0.25">
      <c r="A27" s="8">
        <v>9</v>
      </c>
      <c r="B27" s="9" t="s">
        <v>19</v>
      </c>
      <c r="C27" s="14">
        <v>7382000</v>
      </c>
      <c r="D27" s="14">
        <v>5388000</v>
      </c>
      <c r="E27" s="11">
        <v>1994000</v>
      </c>
      <c r="F27" s="13">
        <f t="shared" si="5"/>
        <v>0.72988350040639394</v>
      </c>
      <c r="G27" s="13">
        <f t="shared" si="6"/>
        <v>0.27011649959360606</v>
      </c>
      <c r="H27" s="10">
        <v>0</v>
      </c>
      <c r="I27" s="3"/>
      <c r="J27" s="3"/>
    </row>
    <row r="28" spans="1:26" ht="15" x14ac:dyDescent="0.25">
      <c r="A28" s="8">
        <v>10</v>
      </c>
      <c r="B28" s="9" t="s">
        <v>20</v>
      </c>
      <c r="C28" s="10">
        <v>0</v>
      </c>
      <c r="D28" s="10">
        <v>0</v>
      </c>
      <c r="E28" s="11">
        <f>C28-D28</f>
        <v>0</v>
      </c>
      <c r="F28" s="8"/>
      <c r="G28" s="13"/>
      <c r="H28" s="10">
        <v>0</v>
      </c>
      <c r="I28" s="3"/>
      <c r="J28" s="3"/>
    </row>
    <row r="29" spans="1:26" ht="15" x14ac:dyDescent="0.25">
      <c r="A29" s="9"/>
      <c r="B29" s="16" t="s">
        <v>21</v>
      </c>
      <c r="C29" s="17">
        <f t="shared" ref="C29:E29" si="7">SUM(C19:C28)</f>
        <v>52755700</v>
      </c>
      <c r="D29" s="17">
        <f t="shared" si="7"/>
        <v>30206000</v>
      </c>
      <c r="E29" s="17">
        <f t="shared" si="7"/>
        <v>22549700</v>
      </c>
      <c r="F29" s="23">
        <v>0.25</v>
      </c>
      <c r="G29" s="23">
        <v>0.75</v>
      </c>
      <c r="H29" s="17">
        <f>SUM(H19:H28)</f>
        <v>8217500</v>
      </c>
      <c r="I29" s="3"/>
      <c r="J29" s="3"/>
    </row>
    <row r="30" spans="1:26" ht="15" x14ac:dyDescent="0.25">
      <c r="A30" s="3"/>
      <c r="B30" s="19" t="s">
        <v>30</v>
      </c>
      <c r="C30" s="20">
        <f>E29</f>
        <v>22549700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141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>
        <v>1612</v>
      </c>
      <c r="D35" s="8">
        <v>60</v>
      </c>
      <c r="E35" s="8">
        <v>1477</v>
      </c>
      <c r="F35" s="8">
        <f t="shared" ref="F35:F44" si="8">C35-D35-E35</f>
        <v>75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>
        <v>1029</v>
      </c>
      <c r="D36" s="8">
        <v>43</v>
      </c>
      <c r="E36" s="8">
        <v>954</v>
      </c>
      <c r="F36" s="8">
        <f t="shared" si="8"/>
        <v>32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>
        <v>1355</v>
      </c>
      <c r="D37" s="8">
        <v>23</v>
      </c>
      <c r="E37" s="8">
        <v>1266</v>
      </c>
      <c r="F37" s="8">
        <f t="shared" si="8"/>
        <v>66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>
        <v>758</v>
      </c>
      <c r="D38" s="8">
        <v>23</v>
      </c>
      <c r="E38" s="8">
        <v>704</v>
      </c>
      <c r="F38" s="8">
        <f t="shared" si="8"/>
        <v>31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>
        <v>139</v>
      </c>
      <c r="D39" s="8">
        <v>4</v>
      </c>
      <c r="E39" s="8">
        <v>130</v>
      </c>
      <c r="F39" s="8">
        <f t="shared" si="8"/>
        <v>5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>
        <v>42</v>
      </c>
      <c r="D40" s="8">
        <v>0</v>
      </c>
      <c r="E40" s="8">
        <v>39</v>
      </c>
      <c r="F40" s="8">
        <f t="shared" si="8"/>
        <v>3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>
        <v>523</v>
      </c>
      <c r="D41" s="8">
        <v>12</v>
      </c>
      <c r="E41" s="8">
        <v>488</v>
      </c>
      <c r="F41" s="8">
        <f t="shared" si="8"/>
        <v>23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>
        <v>784</v>
      </c>
      <c r="D42" s="8">
        <v>6</v>
      </c>
      <c r="E42" s="8">
        <v>726</v>
      </c>
      <c r="F42" s="8">
        <f t="shared" si="8"/>
        <v>52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>
        <v>245</v>
      </c>
      <c r="D43" s="8">
        <v>2</v>
      </c>
      <c r="E43" s="8">
        <v>185</v>
      </c>
      <c r="F43" s="8">
        <f t="shared" si="8"/>
        <v>58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>
        <v>360</v>
      </c>
      <c r="D44" s="8">
        <v>0</v>
      </c>
      <c r="E44" s="8">
        <v>224</v>
      </c>
      <c r="F44" s="8">
        <f t="shared" si="8"/>
        <v>136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9">SUM(C35:C44)</f>
        <v>6847</v>
      </c>
      <c r="D45" s="25">
        <f t="shared" si="9"/>
        <v>173</v>
      </c>
      <c r="E45" s="25">
        <f t="shared" si="9"/>
        <v>6193</v>
      </c>
      <c r="F45" s="25">
        <f t="shared" si="9"/>
        <v>481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143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37</v>
      </c>
      <c r="G49" s="4" t="s">
        <v>38</v>
      </c>
      <c r="H49" s="4" t="s">
        <v>134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0">F3</f>
        <v>192156300</v>
      </c>
      <c r="D50" s="10">
        <f t="shared" ref="D50:D59" si="11">D19</f>
        <v>5511000</v>
      </c>
      <c r="E50" s="10">
        <v>11933700</v>
      </c>
      <c r="F50" s="10">
        <v>1761000</v>
      </c>
      <c r="G50" s="10"/>
      <c r="H50" s="10">
        <f t="shared" ref="H50:H59" si="12">SUM(C50:G50)</f>
        <v>211362000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0"/>
        <v>113264000</v>
      </c>
      <c r="D51" s="10">
        <f t="shared" si="11"/>
        <v>3578000</v>
      </c>
      <c r="E51" s="10">
        <v>5013000</v>
      </c>
      <c r="F51" s="10">
        <v>910000</v>
      </c>
      <c r="G51" s="10"/>
      <c r="H51" s="10">
        <f t="shared" si="12"/>
        <v>122765000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0"/>
        <v>172501000</v>
      </c>
      <c r="D52" s="10">
        <f t="shared" si="11"/>
        <v>3352000</v>
      </c>
      <c r="E52" s="10">
        <v>2374000</v>
      </c>
      <c r="F52" s="10">
        <v>3098000</v>
      </c>
      <c r="G52" s="10"/>
      <c r="H52" s="10">
        <f t="shared" si="12"/>
        <v>181325000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0"/>
        <v>100617100</v>
      </c>
      <c r="D53" s="10">
        <f t="shared" si="11"/>
        <v>1278000</v>
      </c>
      <c r="E53" s="10">
        <v>5618700</v>
      </c>
      <c r="F53" s="10">
        <v>2362000</v>
      </c>
      <c r="G53" s="10"/>
      <c r="H53" s="10">
        <f t="shared" si="12"/>
        <v>109875800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0"/>
        <v>15580000</v>
      </c>
      <c r="D54" s="10">
        <f t="shared" si="11"/>
        <v>622000</v>
      </c>
      <c r="E54" s="10">
        <v>424000</v>
      </c>
      <c r="F54" s="10"/>
      <c r="G54" s="10"/>
      <c r="H54" s="10">
        <f t="shared" si="12"/>
        <v>16626000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0"/>
        <v>5193000</v>
      </c>
      <c r="D55" s="10">
        <f t="shared" si="11"/>
        <v>300000</v>
      </c>
      <c r="E55" s="10">
        <v>288000</v>
      </c>
      <c r="F55" s="10"/>
      <c r="G55" s="10"/>
      <c r="H55" s="10">
        <f t="shared" si="12"/>
        <v>5781000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0"/>
        <v>59219000</v>
      </c>
      <c r="D56" s="10">
        <f t="shared" si="11"/>
        <v>3862000</v>
      </c>
      <c r="E56" s="10">
        <v>2120000</v>
      </c>
      <c r="F56" s="10">
        <v>1201000</v>
      </c>
      <c r="G56" s="10"/>
      <c r="H56" s="10">
        <f t="shared" si="12"/>
        <v>66402000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0"/>
        <v>82350000</v>
      </c>
      <c r="D57" s="10">
        <f t="shared" si="11"/>
        <v>6315000</v>
      </c>
      <c r="E57" s="10">
        <v>1030000</v>
      </c>
      <c r="F57" s="10">
        <v>3043000</v>
      </c>
      <c r="G57" s="10"/>
      <c r="H57" s="10">
        <f t="shared" si="12"/>
        <v>92738000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0"/>
        <v>26151000</v>
      </c>
      <c r="D58" s="10">
        <f t="shared" si="11"/>
        <v>5388000</v>
      </c>
      <c r="E58" s="10">
        <v>0</v>
      </c>
      <c r="F58" s="10">
        <v>943000</v>
      </c>
      <c r="G58" s="10"/>
      <c r="H58" s="10">
        <f t="shared" si="12"/>
        <v>32482000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0"/>
        <v>30202000</v>
      </c>
      <c r="D59" s="10">
        <f t="shared" si="11"/>
        <v>0</v>
      </c>
      <c r="E59" s="10">
        <v>110000</v>
      </c>
      <c r="F59" s="10">
        <v>1253000</v>
      </c>
      <c r="G59" s="10"/>
      <c r="H59" s="10">
        <f t="shared" si="12"/>
        <v>31565000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3">SUM(C50:C59)</f>
        <v>797233400</v>
      </c>
      <c r="D60" s="17">
        <f t="shared" si="13"/>
        <v>30206000</v>
      </c>
      <c r="E60" s="17">
        <f t="shared" si="13"/>
        <v>28911400</v>
      </c>
      <c r="F60" s="17">
        <f t="shared" si="13"/>
        <v>14571000</v>
      </c>
      <c r="G60" s="17">
        <f t="shared" si="13"/>
        <v>0</v>
      </c>
      <c r="H60" s="17">
        <f t="shared" si="13"/>
        <v>870921800</v>
      </c>
      <c r="I60" s="3"/>
      <c r="J60" s="3"/>
    </row>
    <row r="61" spans="1:26" ht="15" x14ac:dyDescent="0.25">
      <c r="A61" s="1"/>
      <c r="B61" s="16" t="s">
        <v>144</v>
      </c>
      <c r="C61" s="17">
        <f>F60</f>
        <v>14571000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60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A1" s="1"/>
      <c r="B1" s="45" t="s">
        <v>135</v>
      </c>
      <c r="C1" s="46"/>
      <c r="D1" s="3"/>
      <c r="E1" s="3"/>
      <c r="F1" s="3"/>
      <c r="G1" s="3"/>
      <c r="H1" s="3"/>
      <c r="I1" s="3"/>
      <c r="J1" s="3"/>
    </row>
    <row r="2" spans="1:26" ht="15.75" customHeight="1" x14ac:dyDescent="0.25">
      <c r="A2" s="4" t="s">
        <v>1</v>
      </c>
      <c r="B2" s="4" t="s">
        <v>2</v>
      </c>
      <c r="C2" s="4" t="s">
        <v>137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139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8">
        <v>1</v>
      </c>
      <c r="B3" s="9" t="s">
        <v>11</v>
      </c>
      <c r="C3" s="10">
        <v>209281500</v>
      </c>
      <c r="D3" s="10">
        <v>8380000</v>
      </c>
      <c r="E3" s="10">
        <v>153000</v>
      </c>
      <c r="F3" s="10">
        <v>193261500</v>
      </c>
      <c r="G3" s="11">
        <f t="shared" ref="G3:G12" si="0">D3+E3+F3</f>
        <v>201794500</v>
      </c>
      <c r="H3" s="12">
        <f t="shared" ref="H3:H12" si="1">C3-G3</f>
        <v>7487000</v>
      </c>
      <c r="I3" s="13">
        <f t="shared" ref="I3:I13" si="2">(G3/C3)*100%</f>
        <v>0.96422521818698737</v>
      </c>
      <c r="J3" s="13">
        <f t="shared" ref="J3:J13" si="3">(H3/C3)*100%</f>
        <v>3.5774781813012614E-2</v>
      </c>
    </row>
    <row r="4" spans="1:26" ht="15.75" customHeight="1" x14ac:dyDescent="0.25">
      <c r="A4" s="8">
        <v>2</v>
      </c>
      <c r="B4" s="9" t="s">
        <v>12</v>
      </c>
      <c r="C4" s="10">
        <v>121048000</v>
      </c>
      <c r="D4" s="10">
        <v>5706000</v>
      </c>
      <c r="E4" s="10">
        <v>65000</v>
      </c>
      <c r="F4" s="10">
        <v>111168000</v>
      </c>
      <c r="G4" s="11">
        <f t="shared" si="0"/>
        <v>116939000</v>
      </c>
      <c r="H4" s="12">
        <f t="shared" si="1"/>
        <v>4109000</v>
      </c>
      <c r="I4" s="13">
        <f t="shared" si="2"/>
        <v>0.96605478818320001</v>
      </c>
      <c r="J4" s="13">
        <f t="shared" si="3"/>
        <v>3.394521181679995E-2</v>
      </c>
    </row>
    <row r="5" spans="1:26" ht="15.75" customHeight="1" x14ac:dyDescent="0.25">
      <c r="A5" s="8">
        <v>3</v>
      </c>
      <c r="B5" s="9" t="s">
        <v>13</v>
      </c>
      <c r="C5" s="10">
        <v>180412000</v>
      </c>
      <c r="D5" s="10">
        <v>3291000</v>
      </c>
      <c r="E5" s="10">
        <v>53000</v>
      </c>
      <c r="F5" s="10">
        <v>172036000</v>
      </c>
      <c r="G5" s="11">
        <f t="shared" si="0"/>
        <v>175380000</v>
      </c>
      <c r="H5" s="12">
        <f t="shared" si="1"/>
        <v>5032000</v>
      </c>
      <c r="I5" s="13">
        <f t="shared" si="2"/>
        <v>0.97210828547990158</v>
      </c>
      <c r="J5" s="13">
        <f t="shared" si="3"/>
        <v>2.7891714520098441E-2</v>
      </c>
    </row>
    <row r="6" spans="1:26" ht="15.75" customHeight="1" x14ac:dyDescent="0.25">
      <c r="A6" s="8">
        <v>4</v>
      </c>
      <c r="B6" s="9" t="s">
        <v>14</v>
      </c>
      <c r="C6" s="10">
        <v>105825900</v>
      </c>
      <c r="D6" s="10">
        <v>4058300</v>
      </c>
      <c r="E6" s="10">
        <v>50000</v>
      </c>
      <c r="F6" s="10">
        <v>98596100</v>
      </c>
      <c r="G6" s="11">
        <f t="shared" si="0"/>
        <v>102704400</v>
      </c>
      <c r="H6" s="12">
        <f t="shared" si="1"/>
        <v>3121500</v>
      </c>
      <c r="I6" s="13">
        <f t="shared" si="2"/>
        <v>0.97050344008413825</v>
      </c>
      <c r="J6" s="13">
        <f t="shared" si="3"/>
        <v>2.9496559915861809E-2</v>
      </c>
    </row>
    <row r="7" spans="1:26" ht="15.75" customHeight="1" x14ac:dyDescent="0.25">
      <c r="A7" s="8">
        <v>5</v>
      </c>
      <c r="B7" s="9" t="s">
        <v>15</v>
      </c>
      <c r="C7" s="10">
        <v>16450200</v>
      </c>
      <c r="D7" s="10">
        <v>529000</v>
      </c>
      <c r="E7" s="10">
        <v>0</v>
      </c>
      <c r="F7" s="10">
        <v>14912000</v>
      </c>
      <c r="G7" s="11">
        <f t="shared" si="0"/>
        <v>15441000</v>
      </c>
      <c r="H7" s="12">
        <f t="shared" si="1"/>
        <v>1009200</v>
      </c>
      <c r="I7" s="13">
        <f t="shared" si="2"/>
        <v>0.93865120180909656</v>
      </c>
      <c r="J7" s="13">
        <f t="shared" si="3"/>
        <v>6.1348798190903456E-2</v>
      </c>
    </row>
    <row r="8" spans="1:26" ht="15.75" customHeight="1" x14ac:dyDescent="0.25">
      <c r="A8" s="8">
        <v>6</v>
      </c>
      <c r="B8" s="9" t="s">
        <v>16</v>
      </c>
      <c r="C8" s="10">
        <v>5547000</v>
      </c>
      <c r="D8" s="10">
        <v>288000</v>
      </c>
      <c r="E8" s="10">
        <v>0</v>
      </c>
      <c r="F8" s="10">
        <v>4959000</v>
      </c>
      <c r="G8" s="11">
        <f t="shared" si="0"/>
        <v>5247000</v>
      </c>
      <c r="H8" s="12">
        <f t="shared" si="1"/>
        <v>300000</v>
      </c>
      <c r="I8" s="13">
        <f t="shared" si="2"/>
        <v>0.9459167117360735</v>
      </c>
      <c r="J8" s="13">
        <f t="shared" si="3"/>
        <v>5.4083288263926443E-2</v>
      </c>
    </row>
    <row r="9" spans="1:26" ht="15.75" customHeight="1" x14ac:dyDescent="0.25">
      <c r="A9" s="8">
        <v>7</v>
      </c>
      <c r="B9" s="9" t="s">
        <v>17</v>
      </c>
      <c r="C9" s="14">
        <v>65987000</v>
      </c>
      <c r="D9" s="10">
        <v>830000</v>
      </c>
      <c r="E9" s="10">
        <v>30000</v>
      </c>
      <c r="F9" s="10">
        <v>58633000</v>
      </c>
      <c r="G9" s="11">
        <f t="shared" si="0"/>
        <v>59493000</v>
      </c>
      <c r="H9" s="12">
        <f t="shared" si="1"/>
        <v>6494000</v>
      </c>
      <c r="I9" s="13">
        <f t="shared" si="2"/>
        <v>0.90158667616348676</v>
      </c>
      <c r="J9" s="13">
        <f t="shared" si="3"/>
        <v>9.8413323836513258E-2</v>
      </c>
    </row>
    <row r="10" spans="1:26" ht="15.75" customHeight="1" x14ac:dyDescent="0.25">
      <c r="A10" s="8">
        <v>8</v>
      </c>
      <c r="B10" s="9" t="s">
        <v>18</v>
      </c>
      <c r="C10" s="15">
        <v>88141000</v>
      </c>
      <c r="D10" s="15">
        <v>865000</v>
      </c>
      <c r="E10" s="10">
        <v>0</v>
      </c>
      <c r="F10" s="15">
        <v>79891000</v>
      </c>
      <c r="G10" s="11">
        <f t="shared" si="0"/>
        <v>80756000</v>
      </c>
      <c r="H10" s="12">
        <f t="shared" si="1"/>
        <v>7385000</v>
      </c>
      <c r="I10" s="13">
        <f t="shared" si="2"/>
        <v>0.91621379380764911</v>
      </c>
      <c r="J10" s="13">
        <f t="shared" si="3"/>
        <v>8.3786206192350887E-2</v>
      </c>
    </row>
    <row r="11" spans="1:26" ht="15.75" customHeight="1" x14ac:dyDescent="0.25">
      <c r="A11" s="8">
        <v>9</v>
      </c>
      <c r="B11" s="9" t="s">
        <v>19</v>
      </c>
      <c r="C11" s="14">
        <v>33128000</v>
      </c>
      <c r="D11" s="10">
        <v>215000</v>
      </c>
      <c r="E11" s="10">
        <v>0</v>
      </c>
      <c r="F11" s="14">
        <v>26510000</v>
      </c>
      <c r="G11" s="11">
        <f t="shared" si="0"/>
        <v>26725000</v>
      </c>
      <c r="H11" s="12">
        <f t="shared" si="1"/>
        <v>6403000</v>
      </c>
      <c r="I11" s="13">
        <f t="shared" si="2"/>
        <v>0.80671939145134031</v>
      </c>
      <c r="J11" s="13">
        <f t="shared" si="3"/>
        <v>0.19328060854865975</v>
      </c>
    </row>
    <row r="12" spans="1:26" ht="15.75" customHeight="1" x14ac:dyDescent="0.25">
      <c r="A12" s="8">
        <v>10</v>
      </c>
      <c r="B12" s="9" t="s">
        <v>20</v>
      </c>
      <c r="C12" s="10">
        <v>38119000</v>
      </c>
      <c r="D12" s="10">
        <v>0</v>
      </c>
      <c r="E12" s="10">
        <v>0</v>
      </c>
      <c r="F12" s="10">
        <v>23873003</v>
      </c>
      <c r="G12" s="11">
        <f t="shared" si="0"/>
        <v>23873003</v>
      </c>
      <c r="H12" s="12">
        <f t="shared" si="1"/>
        <v>14245997</v>
      </c>
      <c r="I12" s="13">
        <f t="shared" si="2"/>
        <v>0.62627568928880606</v>
      </c>
      <c r="J12" s="13">
        <f t="shared" si="3"/>
        <v>0.37372431071119389</v>
      </c>
    </row>
    <row r="13" spans="1:26" ht="15.75" customHeight="1" x14ac:dyDescent="0.25">
      <c r="A13" s="8"/>
      <c r="B13" s="16" t="s">
        <v>21</v>
      </c>
      <c r="C13" s="17">
        <f t="shared" ref="C13:H13" si="4">SUM(C3:C12)</f>
        <v>863939600</v>
      </c>
      <c r="D13" s="17">
        <f t="shared" si="4"/>
        <v>24162300</v>
      </c>
      <c r="E13" s="17">
        <f t="shared" si="4"/>
        <v>351000</v>
      </c>
      <c r="F13" s="17">
        <f t="shared" si="4"/>
        <v>783839603</v>
      </c>
      <c r="G13" s="17">
        <f t="shared" si="4"/>
        <v>808352903</v>
      </c>
      <c r="H13" s="17">
        <f t="shared" si="4"/>
        <v>55586697</v>
      </c>
      <c r="I13" s="18">
        <f t="shared" si="2"/>
        <v>0.93565904722969062</v>
      </c>
      <c r="J13" s="18">
        <f t="shared" si="3"/>
        <v>6.4340952770309406E-2</v>
      </c>
    </row>
    <row r="14" spans="1:26" ht="15.75" customHeight="1" x14ac:dyDescent="0.25">
      <c r="A14" s="1"/>
      <c r="B14" s="19" t="s">
        <v>142</v>
      </c>
      <c r="C14" s="20">
        <f>H13</f>
        <v>55586697</v>
      </c>
      <c r="D14" s="21"/>
      <c r="E14" s="21"/>
      <c r="F14" s="21"/>
      <c r="G14" s="21"/>
      <c r="H14" s="21"/>
      <c r="I14" s="3"/>
      <c r="J14" s="3"/>
    </row>
    <row r="15" spans="1:26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6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6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6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4" t="s">
        <v>29</v>
      </c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x14ac:dyDescent="0.25">
      <c r="A19" s="8">
        <v>1</v>
      </c>
      <c r="B19" s="9" t="s">
        <v>11</v>
      </c>
      <c r="C19" s="10">
        <v>10190200</v>
      </c>
      <c r="D19" s="10">
        <v>7442000</v>
      </c>
      <c r="E19" s="11">
        <f t="shared" ref="E19:E26" si="5">C19-D19</f>
        <v>2748200</v>
      </c>
      <c r="F19" s="13">
        <f t="shared" ref="F19:F28" si="6">(D19/C19)*100%</f>
        <v>0.73030951306156899</v>
      </c>
      <c r="G19" s="13">
        <f t="shared" ref="G19:G28" si="7">(E19/C19)*100%</f>
        <v>0.26969048693843106</v>
      </c>
      <c r="H19" s="10">
        <v>1054000</v>
      </c>
      <c r="I19" s="3"/>
      <c r="J19" s="3"/>
    </row>
    <row r="20" spans="1:26" ht="15" x14ac:dyDescent="0.25">
      <c r="A20" s="8">
        <v>2</v>
      </c>
      <c r="B20" s="9" t="s">
        <v>12</v>
      </c>
      <c r="C20" s="10">
        <v>5370000</v>
      </c>
      <c r="D20" s="10">
        <v>2948000</v>
      </c>
      <c r="E20" s="11">
        <f t="shared" si="5"/>
        <v>2422000</v>
      </c>
      <c r="F20" s="13">
        <f t="shared" si="6"/>
        <v>0.54897579143389197</v>
      </c>
      <c r="G20" s="13">
        <f t="shared" si="7"/>
        <v>0.45102420856610803</v>
      </c>
      <c r="H20" s="10">
        <v>1070000</v>
      </c>
      <c r="I20" s="3"/>
      <c r="J20" s="3"/>
    </row>
    <row r="21" spans="1:26" ht="15" x14ac:dyDescent="0.25">
      <c r="A21" s="8">
        <v>3</v>
      </c>
      <c r="B21" s="9" t="s">
        <v>13</v>
      </c>
      <c r="C21" s="10">
        <v>4298000</v>
      </c>
      <c r="D21" s="10">
        <v>3154000</v>
      </c>
      <c r="E21" s="11">
        <f t="shared" si="5"/>
        <v>1144000</v>
      </c>
      <c r="F21" s="13">
        <f t="shared" si="6"/>
        <v>0.73382968822708239</v>
      </c>
      <c r="G21" s="13">
        <f t="shared" si="7"/>
        <v>0.26617031177291761</v>
      </c>
      <c r="H21" s="10">
        <v>1032000</v>
      </c>
      <c r="I21" s="3"/>
      <c r="J21" s="3"/>
    </row>
    <row r="22" spans="1:26" ht="15" x14ac:dyDescent="0.25">
      <c r="A22" s="8">
        <v>4</v>
      </c>
      <c r="B22" s="9" t="s">
        <v>14</v>
      </c>
      <c r="C22" s="10">
        <v>1562000</v>
      </c>
      <c r="D22" s="10">
        <v>1164000</v>
      </c>
      <c r="E22" s="11">
        <f t="shared" si="5"/>
        <v>398000</v>
      </c>
      <c r="F22" s="13">
        <f t="shared" si="6"/>
        <v>0.74519846350832264</v>
      </c>
      <c r="G22" s="13">
        <f t="shared" si="7"/>
        <v>0.25480153649167736</v>
      </c>
      <c r="H22" s="10">
        <v>590000</v>
      </c>
      <c r="I22" s="3"/>
      <c r="J22" s="3"/>
    </row>
    <row r="23" spans="1:26" ht="15" x14ac:dyDescent="0.25">
      <c r="A23" s="8">
        <v>5</v>
      </c>
      <c r="B23" s="9" t="s">
        <v>15</v>
      </c>
      <c r="C23" s="10">
        <v>239400</v>
      </c>
      <c r="D23" s="10">
        <v>233000</v>
      </c>
      <c r="E23" s="11">
        <f t="shared" si="5"/>
        <v>6400</v>
      </c>
      <c r="F23" s="13">
        <f t="shared" si="6"/>
        <v>0.97326649958228906</v>
      </c>
      <c r="G23" s="13">
        <f t="shared" si="7"/>
        <v>2.6733500417710943E-2</v>
      </c>
      <c r="H23" s="10"/>
      <c r="I23" s="3"/>
      <c r="J23" s="3"/>
    </row>
    <row r="24" spans="1:26" ht="15" x14ac:dyDescent="0.25">
      <c r="A24" s="8">
        <v>6</v>
      </c>
      <c r="B24" s="9" t="s">
        <v>16</v>
      </c>
      <c r="C24" s="10">
        <v>165000</v>
      </c>
      <c r="D24" s="10">
        <v>165000</v>
      </c>
      <c r="E24" s="11">
        <f t="shared" si="5"/>
        <v>0</v>
      </c>
      <c r="F24" s="13">
        <f t="shared" si="6"/>
        <v>1</v>
      </c>
      <c r="G24" s="13">
        <f t="shared" si="7"/>
        <v>0</v>
      </c>
      <c r="H24" s="10"/>
      <c r="I24" s="3"/>
      <c r="J24" s="3"/>
    </row>
    <row r="25" spans="1:26" ht="15" x14ac:dyDescent="0.25">
      <c r="A25" s="8">
        <v>7</v>
      </c>
      <c r="B25" s="9" t="s">
        <v>17</v>
      </c>
      <c r="C25" s="14">
        <v>8835000</v>
      </c>
      <c r="D25" s="10">
        <v>7267000</v>
      </c>
      <c r="E25" s="11">
        <f t="shared" si="5"/>
        <v>1568000</v>
      </c>
      <c r="F25" s="13">
        <f t="shared" si="6"/>
        <v>0.82252405206564794</v>
      </c>
      <c r="G25" s="13">
        <f t="shared" si="7"/>
        <v>0.17747594793435201</v>
      </c>
      <c r="H25" s="10">
        <v>600000</v>
      </c>
      <c r="I25" s="3"/>
      <c r="J25" s="3"/>
    </row>
    <row r="26" spans="1:26" ht="15" x14ac:dyDescent="0.25">
      <c r="A26" s="8">
        <v>8</v>
      </c>
      <c r="B26" s="9" t="s">
        <v>18</v>
      </c>
      <c r="C26" s="15">
        <v>14353000</v>
      </c>
      <c r="D26" s="15">
        <v>7330000</v>
      </c>
      <c r="E26" s="11">
        <f t="shared" si="5"/>
        <v>7023000</v>
      </c>
      <c r="F26" s="13">
        <f t="shared" si="6"/>
        <v>0.51069462830070367</v>
      </c>
      <c r="G26" s="13">
        <f t="shared" si="7"/>
        <v>0.48930537169929633</v>
      </c>
      <c r="H26" s="10">
        <v>520000</v>
      </c>
      <c r="I26" s="3"/>
      <c r="J26" s="3"/>
    </row>
    <row r="27" spans="1:26" ht="15" x14ac:dyDescent="0.25">
      <c r="A27" s="8">
        <v>9</v>
      </c>
      <c r="B27" s="9" t="s">
        <v>19</v>
      </c>
      <c r="C27" s="10">
        <v>6726000</v>
      </c>
      <c r="D27" s="10">
        <v>5333000</v>
      </c>
      <c r="E27" s="11">
        <v>1393000</v>
      </c>
      <c r="F27" s="13">
        <f t="shared" si="6"/>
        <v>0.79289325007433842</v>
      </c>
      <c r="G27" s="13">
        <f t="shared" si="7"/>
        <v>0.20710674992566161</v>
      </c>
      <c r="H27" s="10">
        <v>0</v>
      </c>
      <c r="I27" s="3"/>
      <c r="J27" s="3"/>
    </row>
    <row r="28" spans="1:26" ht="15" x14ac:dyDescent="0.25">
      <c r="A28" s="8">
        <v>10</v>
      </c>
      <c r="B28" s="9" t="s">
        <v>20</v>
      </c>
      <c r="C28" s="10">
        <v>9124997</v>
      </c>
      <c r="D28" s="10">
        <v>9124997</v>
      </c>
      <c r="E28" s="11">
        <f>C28-D28</f>
        <v>0</v>
      </c>
      <c r="F28" s="13">
        <f t="shared" si="6"/>
        <v>1</v>
      </c>
      <c r="G28" s="13">
        <f t="shared" si="7"/>
        <v>0</v>
      </c>
      <c r="H28" s="10">
        <v>0</v>
      </c>
      <c r="I28" s="3"/>
      <c r="J28" s="3"/>
    </row>
    <row r="29" spans="1:26" ht="15" x14ac:dyDescent="0.25">
      <c r="A29" s="9"/>
      <c r="B29" s="16" t="s">
        <v>21</v>
      </c>
      <c r="C29" s="17">
        <f t="shared" ref="C29:E29" si="8">SUM(C19:C28)</f>
        <v>60863597</v>
      </c>
      <c r="D29" s="17">
        <f t="shared" si="8"/>
        <v>44160997</v>
      </c>
      <c r="E29" s="17">
        <f t="shared" si="8"/>
        <v>16702600</v>
      </c>
      <c r="F29" s="23">
        <v>0.25</v>
      </c>
      <c r="G29" s="23">
        <v>0.75</v>
      </c>
      <c r="H29" s="17">
        <f>SUM(H19:H28)</f>
        <v>4866000</v>
      </c>
      <c r="I29" s="3"/>
      <c r="J29" s="3"/>
    </row>
    <row r="30" spans="1:26" ht="15" x14ac:dyDescent="0.25">
      <c r="A30" s="3"/>
      <c r="B30" s="19" t="s">
        <v>30</v>
      </c>
      <c r="C30" s="20">
        <f>E29</f>
        <v>16702600</v>
      </c>
      <c r="D30" s="21"/>
      <c r="E30" s="21"/>
      <c r="F30" s="3"/>
      <c r="G30" s="3"/>
      <c r="H30" s="3"/>
      <c r="I30" s="3"/>
      <c r="J30" s="3"/>
    </row>
    <row r="31" spans="1:26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6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6" x14ac:dyDescent="0.25">
      <c r="A33" s="1"/>
      <c r="B33" s="45" t="s">
        <v>145</v>
      </c>
      <c r="C33" s="46"/>
      <c r="D33" s="3"/>
      <c r="E33" s="3"/>
      <c r="F33" s="3"/>
      <c r="G33" s="3"/>
      <c r="H33" s="3"/>
      <c r="I33" s="3"/>
      <c r="J33" s="3"/>
    </row>
    <row r="34" spans="1:26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x14ac:dyDescent="0.25">
      <c r="A35" s="8">
        <v>1</v>
      </c>
      <c r="B35" s="9" t="s">
        <v>11</v>
      </c>
      <c r="C35" s="8">
        <v>1632</v>
      </c>
      <c r="D35" s="8">
        <v>64</v>
      </c>
      <c r="E35" s="8">
        <v>1487</v>
      </c>
      <c r="F35" s="8">
        <f t="shared" ref="F35:F44" si="9">C35-D35-E35</f>
        <v>81</v>
      </c>
      <c r="G35" s="3"/>
      <c r="H35" s="3"/>
      <c r="I35" s="3"/>
      <c r="J35" s="3"/>
    </row>
    <row r="36" spans="1:26" ht="15" x14ac:dyDescent="0.25">
      <c r="A36" s="8">
        <v>2</v>
      </c>
      <c r="B36" s="9" t="s">
        <v>12</v>
      </c>
      <c r="C36" s="8">
        <v>1028</v>
      </c>
      <c r="D36" s="8">
        <v>48</v>
      </c>
      <c r="E36" s="8">
        <v>940</v>
      </c>
      <c r="F36" s="8">
        <f t="shared" si="9"/>
        <v>40</v>
      </c>
      <c r="G36" s="3"/>
      <c r="H36" s="3"/>
      <c r="I36" s="3"/>
      <c r="J36" s="3"/>
    </row>
    <row r="37" spans="1:26" ht="15" x14ac:dyDescent="0.25">
      <c r="A37" s="8">
        <v>3</v>
      </c>
      <c r="B37" s="9" t="s">
        <v>13</v>
      </c>
      <c r="C37" s="8">
        <v>1325</v>
      </c>
      <c r="D37" s="8">
        <v>21</v>
      </c>
      <c r="E37" s="8">
        <v>1262</v>
      </c>
      <c r="F37" s="8">
        <f t="shared" si="9"/>
        <v>42</v>
      </c>
      <c r="G37" s="3"/>
      <c r="H37" s="3"/>
      <c r="I37" s="3"/>
      <c r="J37" s="3"/>
    </row>
    <row r="38" spans="1:26" ht="15" x14ac:dyDescent="0.25">
      <c r="A38" s="8">
        <v>4</v>
      </c>
      <c r="B38" s="9" t="s">
        <v>14</v>
      </c>
      <c r="C38" s="8">
        <v>747</v>
      </c>
      <c r="D38" s="8">
        <v>29</v>
      </c>
      <c r="E38" s="8">
        <v>689</v>
      </c>
      <c r="F38" s="8">
        <f t="shared" si="9"/>
        <v>29</v>
      </c>
      <c r="G38" s="3"/>
      <c r="H38" s="3"/>
      <c r="I38" s="3"/>
      <c r="J38" s="3"/>
    </row>
    <row r="39" spans="1:26" ht="15" x14ac:dyDescent="0.25">
      <c r="A39" s="8">
        <v>5</v>
      </c>
      <c r="B39" s="9" t="s">
        <v>15</v>
      </c>
      <c r="C39" s="8">
        <v>136</v>
      </c>
      <c r="D39" s="8">
        <v>5</v>
      </c>
      <c r="E39" s="8">
        <v>123</v>
      </c>
      <c r="F39" s="8">
        <f t="shared" si="9"/>
        <v>8</v>
      </c>
      <c r="G39" s="3"/>
      <c r="H39" s="3"/>
      <c r="I39" s="3"/>
      <c r="J39" s="3"/>
    </row>
    <row r="40" spans="1:26" ht="15" x14ac:dyDescent="0.25">
      <c r="A40" s="8">
        <v>6</v>
      </c>
      <c r="B40" s="9" t="s">
        <v>16</v>
      </c>
      <c r="C40" s="8">
        <v>42</v>
      </c>
      <c r="D40" s="8">
        <v>2</v>
      </c>
      <c r="E40" s="8">
        <v>39</v>
      </c>
      <c r="F40" s="8">
        <f t="shared" si="9"/>
        <v>1</v>
      </c>
      <c r="G40" s="3"/>
      <c r="H40" s="3"/>
      <c r="I40" s="3"/>
      <c r="J40" s="3"/>
    </row>
    <row r="41" spans="1:26" ht="15" x14ac:dyDescent="0.25">
      <c r="A41" s="8">
        <v>7</v>
      </c>
      <c r="B41" s="9" t="s">
        <v>17</v>
      </c>
      <c r="C41" s="8">
        <v>522</v>
      </c>
      <c r="D41" s="8">
        <v>10</v>
      </c>
      <c r="E41" s="8">
        <v>49</v>
      </c>
      <c r="F41" s="8">
        <f t="shared" si="9"/>
        <v>463</v>
      </c>
      <c r="G41" s="3"/>
      <c r="H41" s="3"/>
      <c r="I41" s="3"/>
      <c r="J41" s="3"/>
    </row>
    <row r="42" spans="1:26" ht="15" x14ac:dyDescent="0.25">
      <c r="A42" s="8">
        <v>8</v>
      </c>
      <c r="B42" s="9" t="s">
        <v>18</v>
      </c>
      <c r="C42" s="8">
        <v>772</v>
      </c>
      <c r="D42" s="8">
        <v>8</v>
      </c>
      <c r="E42" s="8">
        <v>701</v>
      </c>
      <c r="F42" s="8">
        <f t="shared" si="9"/>
        <v>63</v>
      </c>
      <c r="G42" s="3"/>
      <c r="H42" s="3"/>
      <c r="I42" s="3"/>
      <c r="J42" s="3"/>
    </row>
    <row r="43" spans="1:26" ht="15" x14ac:dyDescent="0.25">
      <c r="A43" s="8">
        <v>9</v>
      </c>
      <c r="B43" s="9" t="s">
        <v>19</v>
      </c>
      <c r="C43" s="8">
        <v>236</v>
      </c>
      <c r="D43" s="8">
        <v>2</v>
      </c>
      <c r="E43" s="8">
        <v>188</v>
      </c>
      <c r="F43" s="8">
        <f t="shared" si="9"/>
        <v>46</v>
      </c>
      <c r="G43" s="3"/>
      <c r="H43" s="3"/>
      <c r="I43" s="3"/>
      <c r="J43" s="3"/>
    </row>
    <row r="44" spans="1:26" ht="15" x14ac:dyDescent="0.25">
      <c r="A44" s="8">
        <v>10</v>
      </c>
      <c r="B44" s="9" t="s">
        <v>20</v>
      </c>
      <c r="C44" s="8">
        <v>348</v>
      </c>
      <c r="D44" s="8">
        <v>0</v>
      </c>
      <c r="E44" s="8">
        <v>224</v>
      </c>
      <c r="F44" s="8">
        <f t="shared" si="9"/>
        <v>124</v>
      </c>
      <c r="G44" s="3"/>
      <c r="H44" s="3"/>
      <c r="I44" s="3"/>
      <c r="J44" s="3"/>
    </row>
    <row r="45" spans="1:26" ht="15" x14ac:dyDescent="0.25">
      <c r="A45" s="24"/>
      <c r="B45" s="16" t="s">
        <v>21</v>
      </c>
      <c r="C45" s="25">
        <f t="shared" ref="C45:F45" si="10">SUM(C35:C44)</f>
        <v>6788</v>
      </c>
      <c r="D45" s="25">
        <f t="shared" si="10"/>
        <v>189</v>
      </c>
      <c r="E45" s="25">
        <f t="shared" si="10"/>
        <v>5702</v>
      </c>
      <c r="F45" s="25">
        <f t="shared" si="10"/>
        <v>897</v>
      </c>
      <c r="G45" s="3"/>
      <c r="H45" s="3"/>
      <c r="I45" s="3"/>
      <c r="J45" s="3"/>
    </row>
    <row r="46" spans="1:26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6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6" x14ac:dyDescent="0.25">
      <c r="A48" s="1"/>
      <c r="B48" s="45" t="s">
        <v>146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37</v>
      </c>
      <c r="G49" s="4" t="s">
        <v>38</v>
      </c>
      <c r="H49" s="4" t="s">
        <v>147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1">F3</f>
        <v>193261500</v>
      </c>
      <c r="D50" s="10">
        <f t="shared" ref="D50:D59" si="12">D19</f>
        <v>7442000</v>
      </c>
      <c r="E50" s="10">
        <v>7944700</v>
      </c>
      <c r="F50" s="10">
        <v>3893000</v>
      </c>
      <c r="G50" s="10">
        <v>285000</v>
      </c>
      <c r="H50" s="10">
        <f t="shared" ref="H50:H59" si="13">SUM(C50:G50)</f>
        <v>212826200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1"/>
        <v>111168000</v>
      </c>
      <c r="D51" s="10">
        <f t="shared" si="12"/>
        <v>2948000</v>
      </c>
      <c r="E51" s="10">
        <v>4722000</v>
      </c>
      <c r="F51" s="10">
        <v>1065000</v>
      </c>
      <c r="G51" s="10"/>
      <c r="H51" s="10">
        <f t="shared" si="13"/>
        <v>119903000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1"/>
        <v>172036000</v>
      </c>
      <c r="D52" s="10">
        <f t="shared" si="12"/>
        <v>3154000</v>
      </c>
      <c r="E52" s="10">
        <v>1502000</v>
      </c>
      <c r="F52" s="10">
        <v>5181000</v>
      </c>
      <c r="G52" s="10">
        <v>300000</v>
      </c>
      <c r="H52" s="10">
        <f t="shared" si="13"/>
        <v>182173000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1"/>
        <v>98596100</v>
      </c>
      <c r="D53" s="10">
        <f t="shared" si="12"/>
        <v>1164000</v>
      </c>
      <c r="E53" s="10">
        <v>702000</v>
      </c>
      <c r="F53" s="10">
        <v>3121000</v>
      </c>
      <c r="G53" s="10">
        <v>700000</v>
      </c>
      <c r="H53" s="10">
        <f t="shared" si="13"/>
        <v>104283100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1"/>
        <v>14912000</v>
      </c>
      <c r="D54" s="10">
        <f t="shared" si="12"/>
        <v>233000</v>
      </c>
      <c r="E54" s="10">
        <v>844000</v>
      </c>
      <c r="F54" s="10">
        <v>723500</v>
      </c>
      <c r="G54" s="10">
        <v>0</v>
      </c>
      <c r="H54" s="10">
        <f t="shared" si="13"/>
        <v>16712500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1"/>
        <v>4959000</v>
      </c>
      <c r="D55" s="10">
        <f t="shared" si="12"/>
        <v>165000</v>
      </c>
      <c r="E55" s="10">
        <v>0</v>
      </c>
      <c r="F55" s="10">
        <v>132000</v>
      </c>
      <c r="G55" s="10">
        <v>0</v>
      </c>
      <c r="H55" s="10">
        <f t="shared" si="13"/>
        <v>5256000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1"/>
        <v>58633000</v>
      </c>
      <c r="D56" s="10">
        <f t="shared" si="12"/>
        <v>7267000</v>
      </c>
      <c r="E56" s="10">
        <v>1161000</v>
      </c>
      <c r="F56" s="10">
        <v>1122000</v>
      </c>
      <c r="G56" s="10">
        <v>0</v>
      </c>
      <c r="H56" s="10">
        <f t="shared" si="13"/>
        <v>68183000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1"/>
        <v>79891000</v>
      </c>
      <c r="D57" s="10">
        <f t="shared" si="12"/>
        <v>7330000</v>
      </c>
      <c r="E57" s="10">
        <v>790000</v>
      </c>
      <c r="F57" s="10">
        <v>1400000</v>
      </c>
      <c r="G57" s="10">
        <v>0</v>
      </c>
      <c r="H57" s="10">
        <f t="shared" si="13"/>
        <v>89411000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1"/>
        <v>26510000</v>
      </c>
      <c r="D58" s="10">
        <f t="shared" si="12"/>
        <v>5333000</v>
      </c>
      <c r="E58" s="10">
        <v>400000</v>
      </c>
      <c r="F58" s="10">
        <v>1225000</v>
      </c>
      <c r="G58" s="10">
        <v>0</v>
      </c>
      <c r="H58" s="10">
        <f t="shared" si="13"/>
        <v>33468000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1"/>
        <v>23873003</v>
      </c>
      <c r="D59" s="10">
        <f t="shared" si="12"/>
        <v>9124997</v>
      </c>
      <c r="E59" s="10">
        <v>0</v>
      </c>
      <c r="F59" s="10">
        <v>629000</v>
      </c>
      <c r="G59" s="10">
        <v>0</v>
      </c>
      <c r="H59" s="10">
        <f t="shared" si="13"/>
        <v>33627000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4">SUM(C50:C59)</f>
        <v>783839603</v>
      </c>
      <c r="D60" s="17">
        <f t="shared" si="14"/>
        <v>44160997</v>
      </c>
      <c r="E60" s="17">
        <f t="shared" si="14"/>
        <v>18065700</v>
      </c>
      <c r="F60" s="17">
        <f t="shared" si="14"/>
        <v>18491500</v>
      </c>
      <c r="G60" s="17">
        <f t="shared" si="14"/>
        <v>1285000</v>
      </c>
      <c r="H60" s="17">
        <f t="shared" si="14"/>
        <v>865842800</v>
      </c>
      <c r="I60" s="3"/>
      <c r="J60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B61"/>
  <sheetViews>
    <sheetView workbookViewId="0"/>
  </sheetViews>
  <sheetFormatPr defaultColWidth="12.5703125" defaultRowHeight="15.75" customHeight="1" x14ac:dyDescent="0.2"/>
  <cols>
    <col min="1" max="1" width="7.42578125" customWidth="1"/>
  </cols>
  <sheetData>
    <row r="1" spans="1:28" ht="15.75" customHeight="1" x14ac:dyDescent="0.25">
      <c r="A1" s="1"/>
      <c r="B1" s="45" t="s">
        <v>148</v>
      </c>
      <c r="C1" s="46"/>
      <c r="D1" s="3"/>
      <c r="E1" s="3"/>
      <c r="F1" s="3"/>
      <c r="G1" s="3"/>
      <c r="H1" s="3"/>
      <c r="I1" s="3"/>
      <c r="J1" s="3"/>
    </row>
    <row r="2" spans="1:28" ht="15.75" customHeight="1" x14ac:dyDescent="0.25">
      <c r="A2" s="4" t="s">
        <v>1</v>
      </c>
      <c r="B2" s="4" t="s">
        <v>2</v>
      </c>
      <c r="C2" s="4" t="s">
        <v>149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150</v>
      </c>
      <c r="I2" s="6" t="s">
        <v>9</v>
      </c>
      <c r="J2" s="6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 x14ac:dyDescent="0.25">
      <c r="A3" s="8">
        <v>1</v>
      </c>
      <c r="B3" s="9" t="s">
        <v>11</v>
      </c>
      <c r="C3" s="10">
        <v>205606300</v>
      </c>
      <c r="D3" s="10">
        <v>7370000</v>
      </c>
      <c r="E3" s="10">
        <v>68000</v>
      </c>
      <c r="F3" s="10">
        <v>192588300</v>
      </c>
      <c r="G3" s="11">
        <f t="shared" ref="G3:G12" si="0">D3+E3+F3</f>
        <v>200026300</v>
      </c>
      <c r="H3" s="12">
        <f t="shared" ref="H3:H12" si="1">C3-G3</f>
        <v>5580000</v>
      </c>
      <c r="I3" s="13">
        <f t="shared" ref="I3:I13" si="2">(G3/C3)*100%</f>
        <v>0.9728607537804046</v>
      </c>
      <c r="J3" s="13">
        <f t="shared" ref="J3:J13" si="3">(H3/C3)*100%</f>
        <v>2.713924621959541E-2</v>
      </c>
    </row>
    <row r="4" spans="1:28" ht="15.75" customHeight="1" x14ac:dyDescent="0.25">
      <c r="A4" s="8">
        <v>2</v>
      </c>
      <c r="B4" s="9" t="s">
        <v>12</v>
      </c>
      <c r="C4" s="10">
        <v>120076000</v>
      </c>
      <c r="D4" s="10">
        <v>5460000</v>
      </c>
      <c r="E4" s="10">
        <v>0</v>
      </c>
      <c r="F4" s="10">
        <v>111811000</v>
      </c>
      <c r="G4" s="11">
        <f t="shared" si="0"/>
        <v>117271000</v>
      </c>
      <c r="H4" s="12">
        <f t="shared" si="1"/>
        <v>2805000</v>
      </c>
      <c r="I4" s="13">
        <f t="shared" si="2"/>
        <v>0.97663979479662877</v>
      </c>
      <c r="J4" s="13">
        <f t="shared" si="3"/>
        <v>2.3360205203371197E-2</v>
      </c>
    </row>
    <row r="5" spans="1:28" ht="15.75" customHeight="1" x14ac:dyDescent="0.25">
      <c r="A5" s="8">
        <v>3</v>
      </c>
      <c r="B5" s="9" t="s">
        <v>13</v>
      </c>
      <c r="C5" s="10">
        <v>177779000</v>
      </c>
      <c r="D5" s="10">
        <v>2947000</v>
      </c>
      <c r="E5" s="10">
        <v>0</v>
      </c>
      <c r="F5" s="10">
        <v>170220000</v>
      </c>
      <c r="G5" s="11">
        <f t="shared" si="0"/>
        <v>173167000</v>
      </c>
      <c r="H5" s="12">
        <f t="shared" si="1"/>
        <v>4612000</v>
      </c>
      <c r="I5" s="13">
        <f t="shared" si="2"/>
        <v>0.97405767835346135</v>
      </c>
      <c r="J5" s="13">
        <f t="shared" si="3"/>
        <v>2.5942321646538681E-2</v>
      </c>
    </row>
    <row r="6" spans="1:28" ht="15.75" customHeight="1" x14ac:dyDescent="0.25">
      <c r="A6" s="8">
        <v>4</v>
      </c>
      <c r="B6" s="9" t="s">
        <v>14</v>
      </c>
      <c r="C6" s="10">
        <v>103434100</v>
      </c>
      <c r="D6" s="10">
        <v>2672300</v>
      </c>
      <c r="E6" s="10">
        <v>25000</v>
      </c>
      <c r="F6" s="10">
        <v>99426800</v>
      </c>
      <c r="G6" s="11">
        <f t="shared" si="0"/>
        <v>102124100</v>
      </c>
      <c r="H6" s="12">
        <f t="shared" si="1"/>
        <v>1310000</v>
      </c>
      <c r="I6" s="13">
        <f t="shared" si="2"/>
        <v>0.98733493113006254</v>
      </c>
      <c r="J6" s="13">
        <f t="shared" si="3"/>
        <v>1.2665068869937478E-2</v>
      </c>
    </row>
    <row r="7" spans="1:28" ht="15.75" customHeight="1" x14ac:dyDescent="0.25">
      <c r="A7" s="8">
        <v>5</v>
      </c>
      <c r="B7" s="9" t="s">
        <v>15</v>
      </c>
      <c r="C7" s="10">
        <v>16335400</v>
      </c>
      <c r="D7" s="10">
        <v>509000</v>
      </c>
      <c r="E7" s="10">
        <v>0</v>
      </c>
      <c r="F7" s="10">
        <v>15593200</v>
      </c>
      <c r="G7" s="11">
        <f t="shared" si="0"/>
        <v>16102200</v>
      </c>
      <c r="H7" s="12">
        <f t="shared" si="1"/>
        <v>233200</v>
      </c>
      <c r="I7" s="13">
        <f t="shared" si="2"/>
        <v>0.9857242552983092</v>
      </c>
      <c r="J7" s="13">
        <f t="shared" si="3"/>
        <v>1.4275744701690806E-2</v>
      </c>
    </row>
    <row r="8" spans="1:28" ht="15.75" customHeight="1" x14ac:dyDescent="0.25">
      <c r="A8" s="8">
        <v>6</v>
      </c>
      <c r="B8" s="9" t="s">
        <v>16</v>
      </c>
      <c r="C8" s="10">
        <v>5743000</v>
      </c>
      <c r="D8" s="10">
        <v>0</v>
      </c>
      <c r="E8" s="10">
        <v>0</v>
      </c>
      <c r="F8" s="10">
        <v>5578000</v>
      </c>
      <c r="G8" s="11">
        <f t="shared" si="0"/>
        <v>5578000</v>
      </c>
      <c r="H8" s="12">
        <f t="shared" si="1"/>
        <v>165000</v>
      </c>
      <c r="I8" s="13">
        <f t="shared" si="2"/>
        <v>0.97126937140867142</v>
      </c>
      <c r="J8" s="13">
        <f t="shared" si="3"/>
        <v>2.8730628591328574E-2</v>
      </c>
    </row>
    <row r="9" spans="1:28" ht="15.75" customHeight="1" x14ac:dyDescent="0.25">
      <c r="A9" s="8">
        <v>7</v>
      </c>
      <c r="B9" s="9" t="s">
        <v>17</v>
      </c>
      <c r="C9" s="10">
        <v>62431000</v>
      </c>
      <c r="D9" s="10">
        <v>1529000</v>
      </c>
      <c r="E9" s="10">
        <v>30000</v>
      </c>
      <c r="F9" s="10">
        <v>56312000</v>
      </c>
      <c r="G9" s="11">
        <f t="shared" si="0"/>
        <v>57871000</v>
      </c>
      <c r="H9" s="12">
        <f t="shared" si="1"/>
        <v>4560000</v>
      </c>
      <c r="I9" s="13">
        <f t="shared" si="2"/>
        <v>0.92695936313690319</v>
      </c>
      <c r="J9" s="13">
        <f t="shared" si="3"/>
        <v>7.3040636863096864E-2</v>
      </c>
    </row>
    <row r="10" spans="1:28" ht="15.75" customHeight="1" x14ac:dyDescent="0.25">
      <c r="A10" s="8">
        <v>8</v>
      </c>
      <c r="B10" s="9" t="s">
        <v>18</v>
      </c>
      <c r="C10" s="14">
        <v>87185000</v>
      </c>
      <c r="D10" s="14">
        <v>935000</v>
      </c>
      <c r="E10" s="10">
        <v>0</v>
      </c>
      <c r="F10" s="10">
        <v>78280000</v>
      </c>
      <c r="G10" s="11">
        <f t="shared" si="0"/>
        <v>79215000</v>
      </c>
      <c r="H10" s="12">
        <f t="shared" si="1"/>
        <v>7970000</v>
      </c>
      <c r="I10" s="13">
        <f t="shared" si="2"/>
        <v>0.90858519240695079</v>
      </c>
      <c r="J10" s="13">
        <f t="shared" si="3"/>
        <v>9.1414807593049263E-2</v>
      </c>
    </row>
    <row r="11" spans="1:28" ht="15.75" customHeight="1" x14ac:dyDescent="0.25">
      <c r="A11" s="8">
        <v>9</v>
      </c>
      <c r="B11" s="9" t="s">
        <v>19</v>
      </c>
      <c r="C11" s="14">
        <v>31752000</v>
      </c>
      <c r="D11" s="10">
        <v>215000</v>
      </c>
      <c r="E11" s="10">
        <v>0</v>
      </c>
      <c r="F11" s="14">
        <v>26252000</v>
      </c>
      <c r="G11" s="11">
        <f t="shared" si="0"/>
        <v>26467000</v>
      </c>
      <c r="H11" s="12">
        <f t="shared" si="1"/>
        <v>5285000</v>
      </c>
      <c r="I11" s="13">
        <f t="shared" si="2"/>
        <v>0.8335537918871252</v>
      </c>
      <c r="J11" s="13">
        <f t="shared" si="3"/>
        <v>0.16644620811287478</v>
      </c>
    </row>
    <row r="12" spans="1:28" ht="15.75" customHeight="1" x14ac:dyDescent="0.25">
      <c r="A12" s="8">
        <v>10</v>
      </c>
      <c r="B12" s="9" t="s">
        <v>20</v>
      </c>
      <c r="C12" s="10">
        <v>39168000</v>
      </c>
      <c r="D12" s="10">
        <v>0</v>
      </c>
      <c r="E12" s="10">
        <v>0</v>
      </c>
      <c r="F12" s="10">
        <v>33894000</v>
      </c>
      <c r="G12" s="11">
        <f t="shared" si="0"/>
        <v>33894000</v>
      </c>
      <c r="H12" s="12">
        <f t="shared" si="1"/>
        <v>5274000</v>
      </c>
      <c r="I12" s="13">
        <f t="shared" si="2"/>
        <v>0.86534926470588236</v>
      </c>
      <c r="J12" s="13">
        <f t="shared" si="3"/>
        <v>0.13465073529411764</v>
      </c>
    </row>
    <row r="13" spans="1:28" ht="15.75" customHeight="1" x14ac:dyDescent="0.25">
      <c r="A13" s="8"/>
      <c r="B13" s="16" t="s">
        <v>21</v>
      </c>
      <c r="C13" s="17">
        <f t="shared" ref="C13:H13" si="4">SUM(C3:C12)</f>
        <v>849509800</v>
      </c>
      <c r="D13" s="17">
        <f t="shared" si="4"/>
        <v>21637300</v>
      </c>
      <c r="E13" s="17">
        <f t="shared" si="4"/>
        <v>123000</v>
      </c>
      <c r="F13" s="17">
        <f t="shared" si="4"/>
        <v>789955300</v>
      </c>
      <c r="G13" s="17">
        <f t="shared" si="4"/>
        <v>811715600</v>
      </c>
      <c r="H13" s="17">
        <f t="shared" si="4"/>
        <v>37794200</v>
      </c>
      <c r="I13" s="18">
        <f t="shared" si="2"/>
        <v>0.95551057798273786</v>
      </c>
      <c r="J13" s="18">
        <f t="shared" si="3"/>
        <v>4.4489422017262192E-2</v>
      </c>
    </row>
    <row r="14" spans="1:28" ht="15.75" customHeight="1" x14ac:dyDescent="0.25">
      <c r="A14" s="1"/>
      <c r="B14" s="19" t="s">
        <v>151</v>
      </c>
      <c r="C14" s="20">
        <f>H13</f>
        <v>37794200</v>
      </c>
      <c r="D14" s="21"/>
      <c r="E14" s="21"/>
      <c r="F14" s="21"/>
      <c r="G14" s="21"/>
      <c r="H14" s="21"/>
      <c r="I14" s="3"/>
      <c r="J14" s="3"/>
    </row>
    <row r="15" spans="1:28" ht="15.75" customHeight="1" x14ac:dyDescent="0.25">
      <c r="A15" s="1"/>
      <c r="B15" s="3"/>
      <c r="C15" s="3"/>
      <c r="D15" s="3"/>
      <c r="E15" s="3"/>
      <c r="F15" s="3"/>
      <c r="G15" s="3"/>
      <c r="H15" s="3"/>
      <c r="I15" s="3"/>
      <c r="J15" s="3"/>
    </row>
    <row r="16" spans="1:28" ht="15" x14ac:dyDescent="0.25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spans="1:28" x14ac:dyDescent="0.25">
      <c r="A17" s="1"/>
      <c r="B17" s="45" t="s">
        <v>23</v>
      </c>
      <c r="C17" s="46"/>
      <c r="D17" s="3"/>
      <c r="E17" s="3"/>
      <c r="F17" s="3"/>
      <c r="G17" s="3"/>
      <c r="H17" s="3"/>
      <c r="I17" s="3"/>
      <c r="J17" s="3"/>
    </row>
    <row r="18" spans="1:28" ht="30" x14ac:dyDescent="0.25">
      <c r="A18" s="4" t="s">
        <v>1</v>
      </c>
      <c r="B18" s="4" t="s">
        <v>2</v>
      </c>
      <c r="C18" s="4" t="s">
        <v>24</v>
      </c>
      <c r="D18" s="4" t="s">
        <v>25</v>
      </c>
      <c r="E18" s="4" t="s">
        <v>26</v>
      </c>
      <c r="F18" s="5" t="s">
        <v>27</v>
      </c>
      <c r="G18" s="6" t="s">
        <v>28</v>
      </c>
      <c r="H18" s="4" t="s">
        <v>29</v>
      </c>
      <c r="I18" s="22"/>
      <c r="J18" s="2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" x14ac:dyDescent="0.25">
      <c r="A19" s="8">
        <v>1</v>
      </c>
      <c r="B19" s="9" t="s">
        <v>11</v>
      </c>
      <c r="C19" s="10">
        <v>13970800</v>
      </c>
      <c r="D19" s="10">
        <v>8474000</v>
      </c>
      <c r="E19" s="11">
        <f t="shared" ref="E19:E26" si="5">C19-D19</f>
        <v>5496800</v>
      </c>
      <c r="F19" s="13">
        <f t="shared" ref="F19:F27" si="6">(D19/C19)*100%</f>
        <v>0.60655080596673061</v>
      </c>
      <c r="G19" s="13">
        <f t="shared" ref="G19:G27" si="7">(E19/C19)*100%</f>
        <v>0.39344919403326939</v>
      </c>
      <c r="H19" s="10">
        <v>1017000</v>
      </c>
      <c r="I19" s="3"/>
      <c r="J19" s="3"/>
    </row>
    <row r="20" spans="1:28" ht="15" x14ac:dyDescent="0.25">
      <c r="A20" s="8">
        <v>2</v>
      </c>
      <c r="B20" s="9" t="s">
        <v>12</v>
      </c>
      <c r="C20" s="10">
        <v>5709000</v>
      </c>
      <c r="D20" s="10">
        <v>3249000</v>
      </c>
      <c r="E20" s="11">
        <f t="shared" si="5"/>
        <v>2460000</v>
      </c>
      <c r="F20" s="13">
        <f t="shared" si="6"/>
        <v>0.5691014188124015</v>
      </c>
      <c r="G20" s="13">
        <f t="shared" si="7"/>
        <v>0.43089858118759855</v>
      </c>
      <c r="H20" s="10">
        <v>0</v>
      </c>
      <c r="I20" s="3"/>
      <c r="J20" s="3"/>
    </row>
    <row r="21" spans="1:28" ht="15" x14ac:dyDescent="0.25">
      <c r="A21" s="8">
        <v>3</v>
      </c>
      <c r="B21" s="9" t="s">
        <v>13</v>
      </c>
      <c r="C21" s="10">
        <v>4651000</v>
      </c>
      <c r="D21" s="10">
        <v>4203000</v>
      </c>
      <c r="E21" s="11">
        <f t="shared" si="5"/>
        <v>448000</v>
      </c>
      <c r="F21" s="13">
        <f t="shared" si="6"/>
        <v>0.90367662868200382</v>
      </c>
      <c r="G21" s="13">
        <f t="shared" si="7"/>
        <v>9.6323371317996134E-2</v>
      </c>
      <c r="H21" s="10">
        <v>928000</v>
      </c>
      <c r="I21" s="3"/>
      <c r="J21" s="3"/>
    </row>
    <row r="22" spans="1:28" ht="15" x14ac:dyDescent="0.25">
      <c r="A22" s="8">
        <v>4</v>
      </c>
      <c r="B22" s="9" t="s">
        <v>14</v>
      </c>
      <c r="C22" s="10">
        <v>2264000</v>
      </c>
      <c r="D22" s="10">
        <v>1598000</v>
      </c>
      <c r="E22" s="11">
        <f t="shared" si="5"/>
        <v>666000</v>
      </c>
      <c r="F22" s="13">
        <f t="shared" si="6"/>
        <v>0.70583038869257952</v>
      </c>
      <c r="G22" s="13">
        <f t="shared" si="7"/>
        <v>0.29416961130742048</v>
      </c>
      <c r="H22" s="10">
        <v>638000</v>
      </c>
      <c r="I22" s="3"/>
      <c r="J22" s="3"/>
    </row>
    <row r="23" spans="1:28" ht="15" x14ac:dyDescent="0.25">
      <c r="A23" s="8">
        <v>5</v>
      </c>
      <c r="B23" s="9" t="s">
        <v>15</v>
      </c>
      <c r="C23" s="10">
        <v>986200</v>
      </c>
      <c r="D23" s="10">
        <v>562800</v>
      </c>
      <c r="E23" s="11">
        <f t="shared" si="5"/>
        <v>423400</v>
      </c>
      <c r="F23" s="13">
        <f t="shared" si="6"/>
        <v>0.57067531940782801</v>
      </c>
      <c r="G23" s="13">
        <f t="shared" si="7"/>
        <v>0.42932468059217199</v>
      </c>
      <c r="H23" s="10">
        <v>419000</v>
      </c>
      <c r="I23" s="3"/>
      <c r="J23" s="3"/>
    </row>
    <row r="24" spans="1:28" ht="15" x14ac:dyDescent="0.25">
      <c r="A24" s="8">
        <v>6</v>
      </c>
      <c r="B24" s="9" t="s">
        <v>16</v>
      </c>
      <c r="C24" s="10">
        <v>300000</v>
      </c>
      <c r="D24" s="10">
        <v>300000</v>
      </c>
      <c r="E24" s="11">
        <f t="shared" si="5"/>
        <v>0</v>
      </c>
      <c r="F24" s="13">
        <f t="shared" si="6"/>
        <v>1</v>
      </c>
      <c r="G24" s="13">
        <f t="shared" si="7"/>
        <v>0</v>
      </c>
      <c r="H24" s="10">
        <v>0</v>
      </c>
      <c r="I24" s="3"/>
      <c r="J24" s="3"/>
    </row>
    <row r="25" spans="1:28" ht="15" x14ac:dyDescent="0.25">
      <c r="A25" s="8">
        <v>7</v>
      </c>
      <c r="B25" s="9" t="s">
        <v>17</v>
      </c>
      <c r="C25" s="15">
        <v>6627500</v>
      </c>
      <c r="D25" s="10">
        <v>2369500</v>
      </c>
      <c r="E25" s="11">
        <f t="shared" si="5"/>
        <v>4258000</v>
      </c>
      <c r="F25" s="13">
        <f t="shared" si="6"/>
        <v>0.35752546208977742</v>
      </c>
      <c r="G25" s="13">
        <f t="shared" si="7"/>
        <v>0.64247453791022258</v>
      </c>
      <c r="H25" s="10">
        <v>6881000</v>
      </c>
      <c r="I25" s="3"/>
      <c r="J25" s="3"/>
    </row>
    <row r="26" spans="1:28" ht="15" x14ac:dyDescent="0.25">
      <c r="A26" s="8">
        <v>8</v>
      </c>
      <c r="B26" s="9" t="s">
        <v>18</v>
      </c>
      <c r="C26" s="14">
        <v>12337000</v>
      </c>
      <c r="D26" s="10">
        <v>4974000</v>
      </c>
      <c r="E26" s="11">
        <f t="shared" si="5"/>
        <v>7363000</v>
      </c>
      <c r="F26" s="13">
        <f t="shared" si="6"/>
        <v>0.40317743373591636</v>
      </c>
      <c r="G26" s="13">
        <f t="shared" si="7"/>
        <v>0.5968225662640837</v>
      </c>
      <c r="H26" s="10">
        <v>1180000</v>
      </c>
      <c r="I26" s="3"/>
      <c r="J26" s="3"/>
    </row>
    <row r="27" spans="1:28" ht="15" x14ac:dyDescent="0.25">
      <c r="A27" s="8">
        <v>9</v>
      </c>
      <c r="B27" s="9" t="s">
        <v>19</v>
      </c>
      <c r="C27" s="10">
        <v>2589000</v>
      </c>
      <c r="D27" s="10">
        <v>918000</v>
      </c>
      <c r="E27" s="11"/>
      <c r="F27" s="13">
        <f t="shared" si="6"/>
        <v>0.35457705677867901</v>
      </c>
      <c r="G27" s="13">
        <f t="shared" si="7"/>
        <v>0</v>
      </c>
      <c r="H27" s="10">
        <v>230000</v>
      </c>
      <c r="I27" s="3"/>
      <c r="J27" s="3"/>
    </row>
    <row r="28" spans="1:28" ht="15" x14ac:dyDescent="0.25">
      <c r="A28" s="8">
        <v>10</v>
      </c>
      <c r="B28" s="9" t="s">
        <v>20</v>
      </c>
      <c r="C28" s="10">
        <v>0</v>
      </c>
      <c r="D28" s="10">
        <v>0</v>
      </c>
      <c r="E28" s="11">
        <f>C28-D28</f>
        <v>0</v>
      </c>
      <c r="F28" s="8"/>
      <c r="G28" s="13"/>
      <c r="H28" s="10">
        <v>0</v>
      </c>
      <c r="I28" s="3"/>
      <c r="J28" s="3"/>
    </row>
    <row r="29" spans="1:28" ht="15" x14ac:dyDescent="0.25">
      <c r="A29" s="9"/>
      <c r="B29" s="16" t="s">
        <v>21</v>
      </c>
      <c r="C29" s="17">
        <f t="shared" ref="C29:E29" si="8">SUM(C19:C28)</f>
        <v>49434500</v>
      </c>
      <c r="D29" s="17">
        <f t="shared" si="8"/>
        <v>26648300</v>
      </c>
      <c r="E29" s="17">
        <f t="shared" si="8"/>
        <v>21115200</v>
      </c>
      <c r="F29" s="23">
        <v>0.25</v>
      </c>
      <c r="G29" s="23">
        <v>0.75</v>
      </c>
      <c r="H29" s="17">
        <f>SUM(H19:H28)</f>
        <v>11293000</v>
      </c>
      <c r="I29" s="3"/>
      <c r="J29" s="3"/>
    </row>
    <row r="30" spans="1:28" ht="15" x14ac:dyDescent="0.25">
      <c r="A30" s="3"/>
      <c r="B30" s="19" t="s">
        <v>30</v>
      </c>
      <c r="C30" s="20">
        <f>E29</f>
        <v>21115200</v>
      </c>
      <c r="D30" s="21"/>
      <c r="E30" s="21"/>
      <c r="F30" s="3"/>
      <c r="G30" s="3"/>
      <c r="H30" s="3"/>
      <c r="I30" s="3"/>
      <c r="J30" s="3"/>
    </row>
    <row r="31" spans="1:28" ht="15" x14ac:dyDescent="0.25">
      <c r="A31" s="1"/>
      <c r="B31" s="3"/>
      <c r="C31" s="3"/>
      <c r="D31" s="3"/>
      <c r="E31" s="3"/>
      <c r="F31" s="3"/>
      <c r="G31" s="3"/>
      <c r="H31" s="3"/>
      <c r="I31" s="3"/>
      <c r="J31" s="3"/>
    </row>
    <row r="32" spans="1:28" ht="15" x14ac:dyDescent="0.25">
      <c r="A32" s="1"/>
      <c r="B32" s="3"/>
      <c r="C32" s="3"/>
      <c r="D32" s="3"/>
      <c r="E32" s="3"/>
      <c r="F32" s="3"/>
      <c r="G32" s="3"/>
      <c r="H32" s="3"/>
      <c r="I32" s="3"/>
      <c r="J32" s="3"/>
    </row>
    <row r="33" spans="1:28" x14ac:dyDescent="0.25">
      <c r="A33" s="1"/>
      <c r="B33" s="45" t="s">
        <v>152</v>
      </c>
      <c r="C33" s="46"/>
      <c r="D33" s="3"/>
      <c r="E33" s="3"/>
      <c r="F33" s="3"/>
      <c r="G33" s="3"/>
      <c r="H33" s="3"/>
      <c r="I33" s="3"/>
      <c r="J33" s="3"/>
    </row>
    <row r="34" spans="1:28" ht="30" x14ac:dyDescent="0.25">
      <c r="A34" s="4" t="s">
        <v>1</v>
      </c>
      <c r="B34" s="4" t="s">
        <v>2</v>
      </c>
      <c r="C34" s="4" t="s">
        <v>31</v>
      </c>
      <c r="D34" s="4" t="s">
        <v>4</v>
      </c>
      <c r="E34" s="4" t="s">
        <v>32</v>
      </c>
      <c r="F34" s="4" t="s">
        <v>33</v>
      </c>
      <c r="G34" s="22"/>
      <c r="H34" s="22"/>
      <c r="I34" s="22"/>
      <c r="J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" x14ac:dyDescent="0.25">
      <c r="A35" s="8">
        <v>1</v>
      </c>
      <c r="B35" s="9" t="s">
        <v>11</v>
      </c>
      <c r="C35" s="8">
        <v>1586</v>
      </c>
      <c r="D35" s="8">
        <v>57</v>
      </c>
      <c r="E35" s="8">
        <v>1489</v>
      </c>
      <c r="F35" s="8">
        <f t="shared" ref="F35:F44" si="9">C35-D35-E35</f>
        <v>40</v>
      </c>
      <c r="G35" s="3"/>
      <c r="H35" s="3"/>
      <c r="I35" s="3"/>
      <c r="J35" s="3"/>
    </row>
    <row r="36" spans="1:28" ht="15" x14ac:dyDescent="0.25">
      <c r="A36" s="8">
        <v>2</v>
      </c>
      <c r="B36" s="9" t="s">
        <v>12</v>
      </c>
      <c r="C36" s="8">
        <v>1012</v>
      </c>
      <c r="D36" s="8">
        <v>44</v>
      </c>
      <c r="E36" s="8">
        <v>945</v>
      </c>
      <c r="F36" s="8">
        <f t="shared" si="9"/>
        <v>23</v>
      </c>
      <c r="G36" s="3"/>
      <c r="H36" s="3"/>
      <c r="I36" s="3"/>
      <c r="J36" s="3"/>
    </row>
    <row r="37" spans="1:28" ht="15" x14ac:dyDescent="0.25">
      <c r="A37" s="8">
        <v>3</v>
      </c>
      <c r="B37" s="9" t="s">
        <v>13</v>
      </c>
      <c r="C37" s="8">
        <v>1309</v>
      </c>
      <c r="D37" s="8">
        <v>20</v>
      </c>
      <c r="E37" s="8">
        <v>1252</v>
      </c>
      <c r="F37" s="8">
        <f t="shared" si="9"/>
        <v>37</v>
      </c>
      <c r="G37" s="3"/>
      <c r="H37" s="3"/>
      <c r="I37" s="3"/>
      <c r="J37" s="3"/>
    </row>
    <row r="38" spans="1:28" ht="15" x14ac:dyDescent="0.25">
      <c r="A38" s="8">
        <v>4</v>
      </c>
      <c r="B38" s="9" t="s">
        <v>14</v>
      </c>
      <c r="C38" s="8">
        <v>726</v>
      </c>
      <c r="D38" s="8">
        <v>18</v>
      </c>
      <c r="E38" s="8">
        <v>698</v>
      </c>
      <c r="F38" s="8">
        <f t="shared" si="9"/>
        <v>10</v>
      </c>
      <c r="G38" s="3"/>
      <c r="H38" s="3"/>
      <c r="I38" s="3"/>
      <c r="J38" s="3"/>
    </row>
    <row r="39" spans="1:28" ht="15" x14ac:dyDescent="0.25">
      <c r="A39" s="8">
        <v>5</v>
      </c>
      <c r="B39" s="9" t="s">
        <v>15</v>
      </c>
      <c r="C39" s="8">
        <v>136</v>
      </c>
      <c r="D39" s="8">
        <v>4</v>
      </c>
      <c r="E39" s="8">
        <v>130</v>
      </c>
      <c r="F39" s="8">
        <f t="shared" si="9"/>
        <v>2</v>
      </c>
      <c r="G39" s="3"/>
      <c r="H39" s="3"/>
      <c r="I39" s="3"/>
      <c r="J39" s="3"/>
    </row>
    <row r="40" spans="1:28" ht="15" x14ac:dyDescent="0.25">
      <c r="A40" s="8">
        <v>6</v>
      </c>
      <c r="B40" s="9" t="s">
        <v>16</v>
      </c>
      <c r="C40" s="8">
        <v>43</v>
      </c>
      <c r="D40" s="8">
        <v>1</v>
      </c>
      <c r="E40" s="8">
        <v>42</v>
      </c>
      <c r="F40" s="8">
        <f t="shared" si="9"/>
        <v>0</v>
      </c>
      <c r="G40" s="3"/>
      <c r="H40" s="3"/>
      <c r="I40" s="3"/>
      <c r="J40" s="3"/>
    </row>
    <row r="41" spans="1:28" ht="15" x14ac:dyDescent="0.25">
      <c r="A41" s="8">
        <v>7</v>
      </c>
      <c r="B41" s="9" t="s">
        <v>17</v>
      </c>
      <c r="C41" s="8">
        <v>501</v>
      </c>
      <c r="D41" s="8">
        <v>12</v>
      </c>
      <c r="E41" s="8">
        <v>452</v>
      </c>
      <c r="F41" s="8">
        <f t="shared" si="9"/>
        <v>37</v>
      </c>
      <c r="G41" s="3"/>
      <c r="H41" s="3"/>
      <c r="I41" s="3"/>
      <c r="J41" s="3"/>
    </row>
    <row r="42" spans="1:28" ht="15" x14ac:dyDescent="0.25">
      <c r="A42" s="8">
        <v>8</v>
      </c>
      <c r="B42" s="9" t="s">
        <v>18</v>
      </c>
      <c r="C42" s="8">
        <v>765</v>
      </c>
      <c r="D42" s="8">
        <v>8</v>
      </c>
      <c r="E42" s="8">
        <v>686</v>
      </c>
      <c r="F42" s="8">
        <f t="shared" si="9"/>
        <v>71</v>
      </c>
      <c r="G42" s="3"/>
      <c r="H42" s="3"/>
      <c r="I42" s="3"/>
      <c r="J42" s="3"/>
    </row>
    <row r="43" spans="1:28" ht="15" x14ac:dyDescent="0.25">
      <c r="A43" s="8">
        <v>9</v>
      </c>
      <c r="B43" s="9" t="s">
        <v>19</v>
      </c>
      <c r="C43" s="8">
        <v>227</v>
      </c>
      <c r="D43" s="8">
        <v>2</v>
      </c>
      <c r="E43" s="8">
        <v>186</v>
      </c>
      <c r="F43" s="8">
        <f t="shared" si="9"/>
        <v>39</v>
      </c>
      <c r="G43" s="3"/>
      <c r="H43" s="3"/>
      <c r="I43" s="3"/>
      <c r="J43" s="3"/>
    </row>
    <row r="44" spans="1:28" ht="15" x14ac:dyDescent="0.25">
      <c r="A44" s="8">
        <v>10</v>
      </c>
      <c r="B44" s="9" t="s">
        <v>20</v>
      </c>
      <c r="C44" s="8">
        <v>0</v>
      </c>
      <c r="D44" s="8">
        <v>0</v>
      </c>
      <c r="E44" s="8">
        <v>0</v>
      </c>
      <c r="F44" s="8">
        <f t="shared" si="9"/>
        <v>0</v>
      </c>
      <c r="G44" s="3"/>
      <c r="H44" s="3"/>
      <c r="I44" s="3"/>
      <c r="J44" s="3"/>
    </row>
    <row r="45" spans="1:28" ht="15" x14ac:dyDescent="0.25">
      <c r="A45" s="24"/>
      <c r="B45" s="16" t="s">
        <v>21</v>
      </c>
      <c r="C45" s="25">
        <f t="shared" ref="C45:F45" si="10">SUM(C35:C44)</f>
        <v>6305</v>
      </c>
      <c r="D45" s="25">
        <f t="shared" si="10"/>
        <v>166</v>
      </c>
      <c r="E45" s="25">
        <f t="shared" si="10"/>
        <v>5880</v>
      </c>
      <c r="F45" s="25">
        <f t="shared" si="10"/>
        <v>259</v>
      </c>
      <c r="G45" s="3"/>
      <c r="H45" s="3"/>
      <c r="I45" s="3"/>
      <c r="J45" s="3"/>
    </row>
    <row r="46" spans="1:28" ht="15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28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28" x14ac:dyDescent="0.25">
      <c r="A48" s="1"/>
      <c r="B48" s="45" t="s">
        <v>153</v>
      </c>
      <c r="C48" s="46"/>
      <c r="D48" s="3"/>
      <c r="E48" s="3"/>
      <c r="F48" s="3"/>
      <c r="G48" s="3"/>
      <c r="H48" s="3"/>
      <c r="I48" s="3"/>
      <c r="J48" s="3"/>
    </row>
    <row r="49" spans="1:26" ht="45" x14ac:dyDescent="0.25">
      <c r="A49" s="4" t="s">
        <v>1</v>
      </c>
      <c r="B49" s="4" t="s">
        <v>2</v>
      </c>
      <c r="C49" s="4" t="s">
        <v>6</v>
      </c>
      <c r="D49" s="4" t="s">
        <v>35</v>
      </c>
      <c r="E49" s="4" t="s">
        <v>36</v>
      </c>
      <c r="F49" s="4" t="s">
        <v>37</v>
      </c>
      <c r="G49" s="4" t="s">
        <v>38</v>
      </c>
      <c r="H49" s="4" t="s">
        <v>154</v>
      </c>
      <c r="I49" s="22"/>
      <c r="J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5">
      <c r="A50" s="8">
        <v>1</v>
      </c>
      <c r="B50" s="9" t="s">
        <v>11</v>
      </c>
      <c r="C50" s="10">
        <f t="shared" ref="C50:C59" si="11">F3</f>
        <v>192588300</v>
      </c>
      <c r="D50" s="10">
        <f t="shared" ref="D50:D59" si="12">D19</f>
        <v>8474000</v>
      </c>
      <c r="E50" s="10">
        <v>8119700</v>
      </c>
      <c r="F50" s="10">
        <v>3183000</v>
      </c>
      <c r="G50" s="10">
        <f>200000+855734</f>
        <v>1055734</v>
      </c>
      <c r="H50" s="10">
        <f t="shared" ref="H50:H59" si="13">SUM(C50:G50)</f>
        <v>213420734</v>
      </c>
      <c r="I50" s="3"/>
      <c r="J50" s="3"/>
    </row>
    <row r="51" spans="1:26" ht="15" x14ac:dyDescent="0.25">
      <c r="A51" s="8">
        <v>2</v>
      </c>
      <c r="B51" s="9" t="s">
        <v>12</v>
      </c>
      <c r="C51" s="10">
        <f t="shared" si="11"/>
        <v>111811000</v>
      </c>
      <c r="D51" s="10">
        <f t="shared" si="12"/>
        <v>3249000</v>
      </c>
      <c r="E51" s="10">
        <v>4357000</v>
      </c>
      <c r="F51" s="10">
        <v>2067000</v>
      </c>
      <c r="G51" s="10">
        <v>75675000</v>
      </c>
      <c r="H51" s="10">
        <f t="shared" si="13"/>
        <v>197159000</v>
      </c>
      <c r="I51" s="3"/>
      <c r="J51" s="3"/>
    </row>
    <row r="52" spans="1:26" ht="15" x14ac:dyDescent="0.25">
      <c r="A52" s="8">
        <v>3</v>
      </c>
      <c r="B52" s="9" t="s">
        <v>13</v>
      </c>
      <c r="C52" s="10">
        <f t="shared" si="11"/>
        <v>170220000</v>
      </c>
      <c r="D52" s="10">
        <f t="shared" si="12"/>
        <v>4203000</v>
      </c>
      <c r="E52" s="10">
        <v>1679000</v>
      </c>
      <c r="F52" s="10">
        <v>4001000</v>
      </c>
      <c r="G52" s="10">
        <f>130000+17280000</f>
        <v>17410000</v>
      </c>
      <c r="H52" s="10">
        <f t="shared" si="13"/>
        <v>197513000</v>
      </c>
      <c r="I52" s="3"/>
      <c r="J52" s="3"/>
    </row>
    <row r="53" spans="1:26" ht="15" x14ac:dyDescent="0.25">
      <c r="A53" s="8">
        <v>4</v>
      </c>
      <c r="B53" s="9" t="s">
        <v>14</v>
      </c>
      <c r="C53" s="10">
        <f t="shared" si="11"/>
        <v>99426800</v>
      </c>
      <c r="D53" s="10">
        <f t="shared" si="12"/>
        <v>1598000</v>
      </c>
      <c r="E53" s="10">
        <v>4043100</v>
      </c>
      <c r="F53" s="10">
        <v>3227000</v>
      </c>
      <c r="G53" s="10">
        <f>100000+1594000</f>
        <v>1694000</v>
      </c>
      <c r="H53" s="10">
        <f t="shared" si="13"/>
        <v>109988900</v>
      </c>
      <c r="I53" s="3"/>
      <c r="J53" s="3"/>
    </row>
    <row r="54" spans="1:26" ht="15" x14ac:dyDescent="0.25">
      <c r="A54" s="8">
        <v>5</v>
      </c>
      <c r="B54" s="9" t="s">
        <v>15</v>
      </c>
      <c r="C54" s="10">
        <f t="shared" si="11"/>
        <v>15593200</v>
      </c>
      <c r="D54" s="10">
        <f t="shared" si="12"/>
        <v>562800</v>
      </c>
      <c r="E54" s="10">
        <v>564000</v>
      </c>
      <c r="F54" s="10">
        <v>0</v>
      </c>
      <c r="G54" s="10">
        <v>0</v>
      </c>
      <c r="H54" s="10">
        <f t="shared" si="13"/>
        <v>16720000</v>
      </c>
      <c r="I54" s="3"/>
      <c r="J54" s="3"/>
    </row>
    <row r="55" spans="1:26" ht="15" x14ac:dyDescent="0.25">
      <c r="A55" s="8">
        <v>6</v>
      </c>
      <c r="B55" s="9" t="s">
        <v>16</v>
      </c>
      <c r="C55" s="10">
        <f t="shared" si="11"/>
        <v>5578000</v>
      </c>
      <c r="D55" s="10">
        <f t="shared" si="12"/>
        <v>300000</v>
      </c>
      <c r="E55" s="10">
        <v>350000</v>
      </c>
      <c r="F55" s="10">
        <v>0</v>
      </c>
      <c r="G55" s="10">
        <v>0</v>
      </c>
      <c r="H55" s="10">
        <f t="shared" si="13"/>
        <v>6228000</v>
      </c>
      <c r="I55" s="3"/>
      <c r="J55" s="3"/>
    </row>
    <row r="56" spans="1:26" ht="15" x14ac:dyDescent="0.25">
      <c r="A56" s="8">
        <v>7</v>
      </c>
      <c r="B56" s="9" t="s">
        <v>17</v>
      </c>
      <c r="C56" s="10">
        <f t="shared" si="11"/>
        <v>56312000</v>
      </c>
      <c r="D56" s="10">
        <f t="shared" si="12"/>
        <v>2369500</v>
      </c>
      <c r="E56" s="10">
        <v>3058000</v>
      </c>
      <c r="F56" s="10">
        <v>1159000</v>
      </c>
      <c r="G56" s="10">
        <v>0</v>
      </c>
      <c r="H56" s="10">
        <f t="shared" si="13"/>
        <v>62898500</v>
      </c>
      <c r="I56" s="3"/>
      <c r="J56" s="3"/>
    </row>
    <row r="57" spans="1:26" ht="15" x14ac:dyDescent="0.25">
      <c r="A57" s="8">
        <v>8</v>
      </c>
      <c r="B57" s="9" t="s">
        <v>18</v>
      </c>
      <c r="C57" s="10">
        <f t="shared" si="11"/>
        <v>78280000</v>
      </c>
      <c r="D57" s="10">
        <f t="shared" si="12"/>
        <v>4974000</v>
      </c>
      <c r="E57" s="10">
        <v>1030000</v>
      </c>
      <c r="F57" s="10">
        <v>2973000</v>
      </c>
      <c r="G57" s="10">
        <v>0</v>
      </c>
      <c r="H57" s="10">
        <f t="shared" si="13"/>
        <v>87257000</v>
      </c>
      <c r="I57" s="3"/>
      <c r="J57" s="3"/>
    </row>
    <row r="58" spans="1:26" ht="15" x14ac:dyDescent="0.25">
      <c r="A58" s="8">
        <v>9</v>
      </c>
      <c r="B58" s="9" t="s">
        <v>19</v>
      </c>
      <c r="C58" s="10">
        <f t="shared" si="11"/>
        <v>26252000</v>
      </c>
      <c r="D58" s="10">
        <f t="shared" si="12"/>
        <v>918000</v>
      </c>
      <c r="E58" s="10">
        <v>1429000</v>
      </c>
      <c r="F58" s="10">
        <v>1530000</v>
      </c>
      <c r="G58" s="10">
        <v>0</v>
      </c>
      <c r="H58" s="10">
        <f t="shared" si="13"/>
        <v>30129000</v>
      </c>
      <c r="I58" s="3"/>
      <c r="J58" s="3"/>
    </row>
    <row r="59" spans="1:26" ht="15" x14ac:dyDescent="0.25">
      <c r="A59" s="8">
        <v>10</v>
      </c>
      <c r="B59" s="9" t="s">
        <v>20</v>
      </c>
      <c r="C59" s="10">
        <f t="shared" si="11"/>
        <v>33894000</v>
      </c>
      <c r="D59" s="10">
        <f t="shared" si="12"/>
        <v>0</v>
      </c>
      <c r="E59" s="10">
        <v>10880000</v>
      </c>
      <c r="F59" s="10">
        <v>887000</v>
      </c>
      <c r="G59" s="10">
        <v>0</v>
      </c>
      <c r="H59" s="10">
        <f t="shared" si="13"/>
        <v>45661000</v>
      </c>
      <c r="I59" s="3"/>
      <c r="J59" s="3"/>
    </row>
    <row r="60" spans="1:26" ht="15" x14ac:dyDescent="0.25">
      <c r="A60" s="24"/>
      <c r="B60" s="16" t="s">
        <v>41</v>
      </c>
      <c r="C60" s="17">
        <f t="shared" ref="C60:H60" si="14">SUM(C50:C59)</f>
        <v>789955300</v>
      </c>
      <c r="D60" s="17">
        <f t="shared" si="14"/>
        <v>26648300</v>
      </c>
      <c r="E60" s="17">
        <f t="shared" si="14"/>
        <v>35509800</v>
      </c>
      <c r="F60" s="17">
        <f t="shared" si="14"/>
        <v>19027000</v>
      </c>
      <c r="G60" s="17">
        <f t="shared" si="14"/>
        <v>95834734</v>
      </c>
      <c r="H60" s="17">
        <f t="shared" si="14"/>
        <v>966975134</v>
      </c>
      <c r="I60" s="3"/>
      <c r="J60" s="3"/>
    </row>
    <row r="61" spans="1:26" ht="15" x14ac:dyDescent="0.25">
      <c r="A61" s="1"/>
      <c r="B61" s="16" t="s">
        <v>21</v>
      </c>
      <c r="C61" s="17">
        <f>H60</f>
        <v>966975134</v>
      </c>
      <c r="D61" s="21"/>
      <c r="E61" s="21"/>
      <c r="F61" s="21"/>
      <c r="G61" s="21"/>
      <c r="H61" s="21"/>
      <c r="I61" s="3"/>
      <c r="J61" s="3"/>
    </row>
  </sheetData>
  <mergeCells count="4">
    <mergeCell ref="B1:C1"/>
    <mergeCell ref="B17:C17"/>
    <mergeCell ref="B33:C33"/>
    <mergeCell ref="B48:C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juli2026</vt:lpstr>
      <vt:lpstr>Whusnet</vt:lpstr>
      <vt:lpstr>Sumberejo</vt:lpstr>
      <vt:lpstr>Jetis</vt:lpstr>
      <vt:lpstr>Siman</vt:lpstr>
      <vt:lpstr>Temon</vt:lpstr>
      <vt:lpstr>Sambit</vt:lpstr>
      <vt:lpstr>Slahung</vt:lpstr>
      <vt:lpstr>Pacitan</vt:lpstr>
      <vt:lpstr>Caruban</vt:lpstr>
      <vt:lpstr>Ngreco</vt:lpstr>
      <vt:lpstr>Des 2026</vt:lpstr>
      <vt:lpstr>Nov 2026</vt:lpstr>
      <vt:lpstr>Okt 2026</vt:lpstr>
      <vt:lpstr>Sep 2026</vt:lpstr>
      <vt:lpstr>Agst 2026</vt:lpstr>
      <vt:lpstr>Juli 2026</vt:lpstr>
      <vt:lpstr>Juni 2026</vt:lpstr>
      <vt:lpstr>juni2026</vt:lpstr>
      <vt:lpstr>Mei2026</vt:lpstr>
      <vt:lpstr>April 2026</vt:lpstr>
      <vt:lpstr>Maret 2026</vt:lpstr>
      <vt:lpstr>Feb 2026</vt:lpstr>
      <vt:lpstr>Jan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Yopi Pauda Pradana</cp:lastModifiedBy>
  <dcterms:modified xsi:type="dcterms:W3CDTF">2026-09-21T09:27:19Z</dcterms:modified>
</cp:coreProperties>
</file>